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Sheet1!$A$69:$H$122</definedName>
  </definedNames>
  <calcPr/>
</workbook>
</file>

<file path=xl/sharedStrings.xml><?xml version="1.0" encoding="utf-8"?>
<sst xmlns="http://schemas.openxmlformats.org/spreadsheetml/2006/main" count="390" uniqueCount="114">
  <si>
    <t>OrderID</t>
  </si>
  <si>
    <t>CustomerName</t>
  </si>
  <si>
    <t>Region</t>
  </si>
  <si>
    <t>Product</t>
  </si>
  <si>
    <t>Quantity</t>
  </si>
  <si>
    <t>UnitPrice</t>
  </si>
  <si>
    <t>OrderDate</t>
  </si>
  <si>
    <t>Total Sales</t>
  </si>
  <si>
    <t>Rahul Singh</t>
  </si>
  <si>
    <t>East</t>
  </si>
  <si>
    <t>Marker</t>
  </si>
  <si>
    <t>Vikas Gupta</t>
  </si>
  <si>
    <t>Eraser</t>
  </si>
  <si>
    <t>13-01-2024</t>
  </si>
  <si>
    <t>Ritika Sen</t>
  </si>
  <si>
    <t>Pencil</t>
  </si>
  <si>
    <t>19-01-2024</t>
  </si>
  <si>
    <t>Sahil Arora</t>
  </si>
  <si>
    <t>24-01-2024</t>
  </si>
  <si>
    <t>Tarun Verma</t>
  </si>
  <si>
    <t>Pen</t>
  </si>
  <si>
    <t>30-01-2024</t>
  </si>
  <si>
    <t>Aditya Singh</t>
  </si>
  <si>
    <t>Rajesh Patel</t>
  </si>
  <si>
    <t>Harsh Yadav</t>
  </si>
  <si>
    <t>14-02-2024</t>
  </si>
  <si>
    <t>Akhil Jain</t>
  </si>
  <si>
    <t>19-02-2024</t>
  </si>
  <si>
    <t>Ayesha Khan</t>
  </si>
  <si>
    <t>Notebook</t>
  </si>
  <si>
    <t>25-02-2024</t>
  </si>
  <si>
    <t>Shruti Sharma</t>
  </si>
  <si>
    <t>Sonia Verma</t>
  </si>
  <si>
    <t>Amit Sharma</t>
  </si>
  <si>
    <t>North</t>
  </si>
  <si>
    <t>Ankit Jain</t>
  </si>
  <si>
    <t>Anjali Rao</t>
  </si>
  <si>
    <t>17-01-2024</t>
  </si>
  <si>
    <t>Aryan Joshi</t>
  </si>
  <si>
    <t>22-01-2024</t>
  </si>
  <si>
    <t>Rohan Gupta</t>
  </si>
  <si>
    <t>28-01-2024</t>
  </si>
  <si>
    <t>Deepak Rao</t>
  </si>
  <si>
    <t>Sanjay Kumar</t>
  </si>
  <si>
    <t>Anurag Mishra</t>
  </si>
  <si>
    <t>Varun Sharma</t>
  </si>
  <si>
    <t>17-02-2024</t>
  </si>
  <si>
    <t>Ravi Nair</t>
  </si>
  <si>
    <t>22-02-2024</t>
  </si>
  <si>
    <t>Sonali Gupta</t>
  </si>
  <si>
    <t>27-02-2024</t>
  </si>
  <si>
    <t>Manish Das</t>
  </si>
  <si>
    <t>Ritika Jain</t>
  </si>
  <si>
    <t>Neha Verma</t>
  </si>
  <si>
    <t>South</t>
  </si>
  <si>
    <t>Sneha Patel</t>
  </si>
  <si>
    <t>Manoj Das</t>
  </si>
  <si>
    <t>18-01-2024</t>
  </si>
  <si>
    <t>Divya Kapoor</t>
  </si>
  <si>
    <t>23-01-2024</t>
  </si>
  <si>
    <t>Nidhi Sharma</t>
  </si>
  <si>
    <t>29-01-2024</t>
  </si>
  <si>
    <t>Payal Mehta</t>
  </si>
  <si>
    <t>Aarti Sharma</t>
  </si>
  <si>
    <t>Sanya Kapoor</t>
  </si>
  <si>
    <t>13-02-2024</t>
  </si>
  <si>
    <t>Swati Arora</t>
  </si>
  <si>
    <t>18-02-2024</t>
  </si>
  <si>
    <t>Komal Singh</t>
  </si>
  <si>
    <t>23-02-2024</t>
  </si>
  <si>
    <t>Neeraj Kapoor</t>
  </si>
  <si>
    <t>28-02-2024</t>
  </si>
  <si>
    <t>Rupal Nair</t>
  </si>
  <si>
    <t>Vivek Malhotra</t>
  </si>
  <si>
    <t>Pooja Mehta</t>
  </si>
  <si>
    <t>West</t>
  </si>
  <si>
    <t>Meera Nair</t>
  </si>
  <si>
    <t>15-01-2024</t>
  </si>
  <si>
    <t>Karan Malhotra</t>
  </si>
  <si>
    <t>20-01-2024</t>
  </si>
  <si>
    <t>Muskan Jain</t>
  </si>
  <si>
    <t>26-01-2024</t>
  </si>
  <si>
    <t>Simran Kaur</t>
  </si>
  <si>
    <t>Shreya Nair</t>
  </si>
  <si>
    <t>Preeti Joshi</t>
  </si>
  <si>
    <t>Kajal Rani</t>
  </si>
  <si>
    <t>16-02-2024</t>
  </si>
  <si>
    <t>Priyanka Das</t>
  </si>
  <si>
    <t>21-02-2024</t>
  </si>
  <si>
    <t>Arjun Mehta</t>
  </si>
  <si>
    <t>26-02-2024</t>
  </si>
  <si>
    <t>Yash Arora</t>
  </si>
  <si>
    <t>Kunal Singh</t>
  </si>
  <si>
    <t>Q2. Write a formula to Calculate the total sales of Car and Bicycle Only.</t>
  </si>
  <si>
    <t>SR.NO</t>
  </si>
  <si>
    <t>VEHICLE</t>
  </si>
  <si>
    <t>PRICE</t>
  </si>
  <si>
    <t>CAR</t>
  </si>
  <si>
    <t>BICYCLE</t>
  </si>
  <si>
    <t>AUTO-RICKSHAW</t>
  </si>
  <si>
    <t>ANS</t>
  </si>
  <si>
    <t>Q3. Using the data below, write a formula to calculate the average sales of items priced above 100 but less than
 300:</t>
  </si>
  <si>
    <t>Item</t>
  </si>
  <si>
    <t>Price</t>
  </si>
  <si>
    <t>Sale</t>
  </si>
  <si>
    <t>Item A</t>
  </si>
  <si>
    <t>Item B</t>
  </si>
  <si>
    <t>Item C</t>
  </si>
  <si>
    <t>Ans</t>
  </si>
  <si>
    <t>Q5. Calculate the Total Sales for each row using a formula.</t>
  </si>
  <si>
    <t>Total</t>
  </si>
  <si>
    <t>Q4. Count how many customer names are recorded</t>
  </si>
  <si>
    <t>Ans.</t>
  </si>
  <si>
    <t>Q6.Calculate the total sales of Notebooks in the North region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</si>
</sst>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Sheet1!$H$69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Sheet1!$G$70:$G$119</c:f>
            </c:strRef>
          </c:cat>
          <c:val>
            <c:numRef>
              <c:f>Sheet1!$H$70:$H$119</c:f>
              <c:numCache/>
            </c:numRef>
          </c:val>
          <c:smooth val="0"/>
        </c:ser>
        <c:axId val="1897315858"/>
        <c:axId val="415628225"/>
      </c:lineChart>
      <c:catAx>
        <c:axId val="1897315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628225"/>
      </c:catAx>
      <c:valAx>
        <c:axId val="415628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3158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Sheet1!$H$69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Sheet1!$D$70:$D$119</c:f>
            </c:strRef>
          </c:cat>
          <c:val>
            <c:numRef>
              <c:f>Sheet1!$H$70:$H$119</c:f>
              <c:numCache/>
            </c:numRef>
          </c:val>
        </c:ser>
        <c:axId val="1358617851"/>
        <c:axId val="151446575"/>
      </c:barChart>
      <c:catAx>
        <c:axId val="1358617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46575"/>
      </c:catAx>
      <c:valAx>
        <c:axId val="151446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617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116</xdr:row>
      <xdr:rowOff>19050</xdr:rowOff>
    </xdr:from>
    <xdr:ext cx="44672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</xdr:colOff>
      <xdr:row>74</xdr:row>
      <xdr:rowOff>114300</xdr:rowOff>
    </xdr:from>
    <xdr:ext cx="4162425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1" displayName="Table1" name="Table1" id="1">
  <tableColumns count="8">
    <tableColumn name="OrderID" id="1"/>
    <tableColumn name="CustomerName" id="2"/>
    <tableColumn name="Region" id="3"/>
    <tableColumn name="Product" id="4"/>
    <tableColumn name="Quantity" id="5"/>
    <tableColumn name="UnitPrice" id="6"/>
    <tableColumn name="OrderDate" id="7"/>
    <tableColumn name="Total Sales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4"/>
      <c r="K1" s="4"/>
      <c r="L1" s="4"/>
      <c r="M1" s="4"/>
      <c r="N1" s="4"/>
    </row>
    <row r="2" ht="22.5" customHeight="1">
      <c r="A2" s="5">
        <v>1003.0</v>
      </c>
      <c r="B2" s="5" t="s">
        <v>8</v>
      </c>
      <c r="C2" s="5" t="s">
        <v>9</v>
      </c>
      <c r="D2" s="5" t="s">
        <v>10</v>
      </c>
      <c r="E2" s="5">
        <v>15.0</v>
      </c>
      <c r="F2" s="5">
        <v>25.0</v>
      </c>
      <c r="G2" s="6">
        <v>45474.0</v>
      </c>
      <c r="H2" s="7">
        <v>375.0</v>
      </c>
      <c r="I2" s="4"/>
      <c r="J2" s="4"/>
      <c r="K2" s="4"/>
      <c r="L2" s="4"/>
      <c r="M2" s="4"/>
      <c r="N2" s="4"/>
    </row>
    <row r="3" ht="22.5" customHeight="1">
      <c r="A3" s="5">
        <v>1007.0</v>
      </c>
      <c r="B3" s="5" t="s">
        <v>11</v>
      </c>
      <c r="C3" s="5" t="s">
        <v>9</v>
      </c>
      <c r="D3" s="5" t="s">
        <v>12</v>
      </c>
      <c r="E3" s="5">
        <v>25.0</v>
      </c>
      <c r="F3" s="5">
        <v>8.0</v>
      </c>
      <c r="G3" s="5" t="s">
        <v>13</v>
      </c>
      <c r="H3" s="7">
        <v>200.0</v>
      </c>
      <c r="I3" s="4"/>
      <c r="J3" s="4"/>
      <c r="K3" s="4"/>
      <c r="L3" s="4"/>
      <c r="M3" s="4"/>
      <c r="N3" s="4"/>
    </row>
    <row r="4" ht="22.5" customHeight="1">
      <c r="A4" s="5">
        <v>1011.0</v>
      </c>
      <c r="B4" s="5" t="s">
        <v>14</v>
      </c>
      <c r="C4" s="5" t="s">
        <v>9</v>
      </c>
      <c r="D4" s="5" t="s">
        <v>15</v>
      </c>
      <c r="E4" s="5">
        <v>40.0</v>
      </c>
      <c r="F4" s="5">
        <v>5.0</v>
      </c>
      <c r="G4" s="5" t="s">
        <v>16</v>
      </c>
      <c r="H4" s="7">
        <v>200.0</v>
      </c>
      <c r="I4" s="4"/>
      <c r="J4" s="4"/>
      <c r="K4" s="4"/>
      <c r="L4" s="4"/>
      <c r="M4" s="4"/>
      <c r="N4" s="4"/>
    </row>
    <row r="5" ht="22.5" customHeight="1">
      <c r="A5" s="5">
        <v>1015.0</v>
      </c>
      <c r="B5" s="5" t="s">
        <v>17</v>
      </c>
      <c r="C5" s="5" t="s">
        <v>9</v>
      </c>
      <c r="D5" s="5" t="s">
        <v>10</v>
      </c>
      <c r="E5" s="5">
        <v>12.0</v>
      </c>
      <c r="F5" s="5">
        <v>25.0</v>
      </c>
      <c r="G5" s="5" t="s">
        <v>18</v>
      </c>
      <c r="H5" s="7">
        <v>300.0</v>
      </c>
      <c r="I5" s="4"/>
      <c r="J5" s="4"/>
      <c r="K5" s="4"/>
      <c r="L5" s="4"/>
      <c r="M5" s="4"/>
      <c r="N5" s="4"/>
    </row>
    <row r="6" ht="22.5" customHeight="1">
      <c r="A6" s="5">
        <v>1019.0</v>
      </c>
      <c r="B6" s="5" t="s">
        <v>19</v>
      </c>
      <c r="C6" s="5" t="s">
        <v>9</v>
      </c>
      <c r="D6" s="5" t="s">
        <v>20</v>
      </c>
      <c r="E6" s="5">
        <v>15.0</v>
      </c>
      <c r="F6" s="5">
        <v>10.0</v>
      </c>
      <c r="G6" s="5" t="s">
        <v>21</v>
      </c>
      <c r="H6" s="7">
        <v>150.0</v>
      </c>
      <c r="I6" s="4"/>
      <c r="J6" s="4"/>
      <c r="K6" s="4"/>
      <c r="L6" s="4"/>
      <c r="M6" s="4"/>
      <c r="N6" s="4"/>
    </row>
    <row r="7" ht="22.5" customHeight="1">
      <c r="A7" s="5">
        <v>1023.0</v>
      </c>
      <c r="B7" s="5" t="s">
        <v>22</v>
      </c>
      <c r="C7" s="5" t="s">
        <v>9</v>
      </c>
      <c r="D7" s="5" t="s">
        <v>12</v>
      </c>
      <c r="E7" s="5">
        <v>30.0</v>
      </c>
      <c r="F7" s="5">
        <v>8.0</v>
      </c>
      <c r="G7" s="6">
        <v>45384.0</v>
      </c>
      <c r="H7" s="7">
        <v>240.0</v>
      </c>
      <c r="I7" s="4"/>
      <c r="J7" s="4"/>
      <c r="K7" s="4"/>
      <c r="L7" s="4"/>
      <c r="M7" s="4"/>
      <c r="N7" s="4"/>
    </row>
    <row r="8" ht="22.5" customHeight="1">
      <c r="A8" s="5">
        <v>1027.0</v>
      </c>
      <c r="B8" s="5" t="s">
        <v>23</v>
      </c>
      <c r="C8" s="5" t="s">
        <v>9</v>
      </c>
      <c r="D8" s="5" t="s">
        <v>15</v>
      </c>
      <c r="E8" s="5">
        <v>22.0</v>
      </c>
      <c r="F8" s="5">
        <v>5.0</v>
      </c>
      <c r="G8" s="6">
        <v>45537.0</v>
      </c>
      <c r="H8" s="7">
        <v>110.0</v>
      </c>
      <c r="I8" s="4"/>
      <c r="J8" s="4"/>
      <c r="K8" s="4"/>
      <c r="L8" s="4"/>
      <c r="M8" s="4"/>
      <c r="N8" s="4"/>
    </row>
    <row r="9" ht="22.5" customHeight="1">
      <c r="A9" s="5">
        <v>1031.0</v>
      </c>
      <c r="B9" s="5" t="s">
        <v>24</v>
      </c>
      <c r="C9" s="5" t="s">
        <v>9</v>
      </c>
      <c r="D9" s="5" t="s">
        <v>10</v>
      </c>
      <c r="E9" s="5">
        <v>10.0</v>
      </c>
      <c r="F9" s="5">
        <v>25.0</v>
      </c>
      <c r="G9" s="5" t="s">
        <v>25</v>
      </c>
      <c r="H9" s="7">
        <v>250.0</v>
      </c>
      <c r="I9" s="4"/>
    </row>
    <row r="10" ht="22.5" customHeight="1">
      <c r="A10" s="5">
        <v>1035.0</v>
      </c>
      <c r="B10" s="5" t="s">
        <v>26</v>
      </c>
      <c r="C10" s="5" t="s">
        <v>9</v>
      </c>
      <c r="D10" s="5" t="s">
        <v>20</v>
      </c>
      <c r="E10" s="5">
        <v>19.0</v>
      </c>
      <c r="F10" s="5">
        <v>10.0</v>
      </c>
      <c r="G10" s="5" t="s">
        <v>27</v>
      </c>
      <c r="H10" s="7">
        <v>190.0</v>
      </c>
    </row>
    <row r="11" ht="22.5" customHeight="1">
      <c r="A11" s="5">
        <v>1039.0</v>
      </c>
      <c r="B11" s="5" t="s">
        <v>28</v>
      </c>
      <c r="C11" s="5" t="s">
        <v>9</v>
      </c>
      <c r="D11" s="5" t="s">
        <v>29</v>
      </c>
      <c r="E11" s="5">
        <v>16.0</v>
      </c>
      <c r="F11" s="5">
        <v>50.0</v>
      </c>
      <c r="G11" s="5" t="s">
        <v>30</v>
      </c>
      <c r="H11" s="7">
        <v>800.0</v>
      </c>
    </row>
    <row r="12" ht="22.5" customHeight="1">
      <c r="A12" s="5">
        <v>1043.0</v>
      </c>
      <c r="B12" s="5" t="s">
        <v>31</v>
      </c>
      <c r="C12" s="5" t="s">
        <v>9</v>
      </c>
      <c r="D12" s="5" t="s">
        <v>12</v>
      </c>
      <c r="E12" s="5">
        <v>26.0</v>
      </c>
      <c r="F12" s="5">
        <v>8.0</v>
      </c>
      <c r="G12" s="6">
        <v>45294.0</v>
      </c>
      <c r="H12" s="7">
        <v>208.0</v>
      </c>
    </row>
    <row r="13" ht="22.5" customHeight="1">
      <c r="A13" s="5">
        <v>1047.0</v>
      </c>
      <c r="B13" s="5" t="s">
        <v>32</v>
      </c>
      <c r="C13" s="5" t="s">
        <v>9</v>
      </c>
      <c r="D13" s="5" t="s">
        <v>15</v>
      </c>
      <c r="E13" s="5">
        <v>19.0</v>
      </c>
      <c r="F13" s="5">
        <v>5.0</v>
      </c>
      <c r="G13" s="8">
        <v>45415.0</v>
      </c>
      <c r="H13" s="7">
        <v>95.0</v>
      </c>
    </row>
    <row r="14" ht="22.5" customHeight="1">
      <c r="A14" s="5">
        <v>1001.0</v>
      </c>
      <c r="B14" s="5" t="s">
        <v>33</v>
      </c>
      <c r="C14" s="5" t="s">
        <v>34</v>
      </c>
      <c r="D14" s="5" t="s">
        <v>29</v>
      </c>
      <c r="E14" s="5">
        <v>10.0</v>
      </c>
      <c r="F14" s="5">
        <v>50.0</v>
      </c>
      <c r="G14" s="8">
        <v>45413.0</v>
      </c>
      <c r="H14" s="7">
        <v>500.0</v>
      </c>
    </row>
    <row r="15" ht="22.5" customHeight="1">
      <c r="A15" s="5">
        <v>1005.0</v>
      </c>
      <c r="B15" s="5" t="s">
        <v>35</v>
      </c>
      <c r="C15" s="5" t="s">
        <v>34</v>
      </c>
      <c r="D15" s="5" t="s">
        <v>15</v>
      </c>
      <c r="E15" s="5">
        <v>30.0</v>
      </c>
      <c r="F15" s="5">
        <v>5.0</v>
      </c>
      <c r="G15" s="6">
        <v>45566.0</v>
      </c>
      <c r="H15" s="7">
        <v>150.0</v>
      </c>
    </row>
    <row r="16" ht="22.5" customHeight="1">
      <c r="A16" s="5">
        <v>1009.0</v>
      </c>
      <c r="B16" s="5" t="s">
        <v>36</v>
      </c>
      <c r="C16" s="5" t="s">
        <v>34</v>
      </c>
      <c r="D16" s="5" t="s">
        <v>10</v>
      </c>
      <c r="E16" s="5">
        <v>22.0</v>
      </c>
      <c r="F16" s="5">
        <v>25.0</v>
      </c>
      <c r="G16" s="5" t="s">
        <v>37</v>
      </c>
      <c r="H16" s="7">
        <v>550.0</v>
      </c>
    </row>
    <row r="17" ht="22.5" customHeight="1">
      <c r="A17" s="5">
        <v>1013.0</v>
      </c>
      <c r="B17" s="5" t="s">
        <v>38</v>
      </c>
      <c r="C17" s="5" t="s">
        <v>34</v>
      </c>
      <c r="D17" s="5" t="s">
        <v>29</v>
      </c>
      <c r="E17" s="5">
        <v>14.0</v>
      </c>
      <c r="F17" s="5">
        <v>50.0</v>
      </c>
      <c r="G17" s="5" t="s">
        <v>39</v>
      </c>
      <c r="H17" s="7">
        <v>700.0</v>
      </c>
    </row>
    <row r="18" ht="22.5" customHeight="1">
      <c r="A18" s="5">
        <v>1017.0</v>
      </c>
      <c r="B18" s="5" t="s">
        <v>40</v>
      </c>
      <c r="C18" s="5" t="s">
        <v>34</v>
      </c>
      <c r="D18" s="5" t="s">
        <v>12</v>
      </c>
      <c r="E18" s="5">
        <v>20.0</v>
      </c>
      <c r="F18" s="5">
        <v>8.0</v>
      </c>
      <c r="G18" s="5" t="s">
        <v>41</v>
      </c>
      <c r="H18" s="7">
        <v>160.0</v>
      </c>
      <c r="I18" s="4"/>
      <c r="J18" s="4"/>
      <c r="K18" s="4"/>
      <c r="L18" s="4"/>
      <c r="M18" s="4"/>
      <c r="N18" s="4"/>
    </row>
    <row r="19" ht="22.5" customHeight="1">
      <c r="A19" s="5">
        <v>1021.0</v>
      </c>
      <c r="B19" s="5" t="s">
        <v>42</v>
      </c>
      <c r="C19" s="5" t="s">
        <v>34</v>
      </c>
      <c r="D19" s="5" t="s">
        <v>29</v>
      </c>
      <c r="E19" s="5">
        <v>9.0</v>
      </c>
      <c r="F19" s="5">
        <v>50.0</v>
      </c>
      <c r="G19" s="6">
        <v>45324.0</v>
      </c>
      <c r="H19" s="7">
        <v>450.0</v>
      </c>
      <c r="I19" s="4"/>
      <c r="J19" s="4"/>
      <c r="K19" s="4"/>
      <c r="L19" s="4"/>
      <c r="M19" s="4"/>
      <c r="N19" s="4"/>
    </row>
    <row r="20" ht="22.5" customHeight="1">
      <c r="A20" s="5">
        <v>1025.0</v>
      </c>
      <c r="B20" s="5" t="s">
        <v>43</v>
      </c>
      <c r="C20" s="5" t="s">
        <v>34</v>
      </c>
      <c r="D20" s="5" t="s">
        <v>20</v>
      </c>
      <c r="E20" s="5">
        <v>14.0</v>
      </c>
      <c r="F20" s="5">
        <v>10.0</v>
      </c>
      <c r="G20" s="6">
        <v>45475.0</v>
      </c>
      <c r="H20" s="7">
        <v>140.0</v>
      </c>
      <c r="I20" s="4"/>
      <c r="J20" s="4"/>
      <c r="K20" s="4"/>
      <c r="L20" s="4"/>
      <c r="M20" s="4"/>
      <c r="N20" s="4"/>
    </row>
    <row r="21" ht="22.5" customHeight="1">
      <c r="A21" s="5">
        <v>1029.0</v>
      </c>
      <c r="B21" s="5" t="s">
        <v>44</v>
      </c>
      <c r="C21" s="5" t="s">
        <v>34</v>
      </c>
      <c r="D21" s="5" t="s">
        <v>29</v>
      </c>
      <c r="E21" s="5">
        <v>13.0</v>
      </c>
      <c r="F21" s="5">
        <v>50.0</v>
      </c>
      <c r="G21" s="6">
        <v>45628.0</v>
      </c>
      <c r="H21" s="7">
        <v>650.0</v>
      </c>
      <c r="I21" s="4"/>
      <c r="J21" s="4"/>
      <c r="K21" s="4"/>
      <c r="L21" s="4"/>
      <c r="M21" s="4"/>
      <c r="N21" s="4"/>
    </row>
    <row r="22" ht="22.5" customHeight="1">
      <c r="A22" s="5">
        <v>1033.0</v>
      </c>
      <c r="B22" s="5" t="s">
        <v>45</v>
      </c>
      <c r="C22" s="5" t="s">
        <v>34</v>
      </c>
      <c r="D22" s="5" t="s">
        <v>12</v>
      </c>
      <c r="E22" s="5">
        <v>22.0</v>
      </c>
      <c r="F22" s="5">
        <v>8.0</v>
      </c>
      <c r="G22" s="5" t="s">
        <v>46</v>
      </c>
      <c r="H22" s="7">
        <v>176.0</v>
      </c>
      <c r="I22" s="4"/>
      <c r="J22" s="4"/>
      <c r="K22" s="4"/>
      <c r="L22" s="4"/>
      <c r="M22" s="4"/>
      <c r="N22" s="4"/>
    </row>
    <row r="23" ht="22.5" customHeight="1">
      <c r="A23" s="5">
        <v>1037.0</v>
      </c>
      <c r="B23" s="5" t="s">
        <v>47</v>
      </c>
      <c r="C23" s="5" t="s">
        <v>34</v>
      </c>
      <c r="D23" s="5" t="s">
        <v>15</v>
      </c>
      <c r="E23" s="5">
        <v>28.0</v>
      </c>
      <c r="F23" s="5">
        <v>5.0</v>
      </c>
      <c r="G23" s="5" t="s">
        <v>48</v>
      </c>
      <c r="H23" s="7">
        <v>140.0</v>
      </c>
      <c r="I23" s="4"/>
      <c r="J23" s="4"/>
      <c r="K23" s="4"/>
      <c r="L23" s="4"/>
      <c r="M23" s="4"/>
      <c r="N23" s="4"/>
    </row>
    <row r="24" ht="22.5" customHeight="1">
      <c r="A24" s="5">
        <v>1041.0</v>
      </c>
      <c r="B24" s="5" t="s">
        <v>49</v>
      </c>
      <c r="C24" s="5" t="s">
        <v>34</v>
      </c>
      <c r="D24" s="5" t="s">
        <v>10</v>
      </c>
      <c r="E24" s="5">
        <v>21.0</v>
      </c>
      <c r="F24" s="5">
        <v>25.0</v>
      </c>
      <c r="G24" s="5" t="s">
        <v>50</v>
      </c>
      <c r="H24" s="7">
        <v>525.0</v>
      </c>
      <c r="I24" s="4"/>
      <c r="J24" s="4"/>
      <c r="K24" s="4"/>
      <c r="L24" s="4"/>
      <c r="M24" s="4"/>
      <c r="N24" s="4"/>
    </row>
    <row r="25" ht="22.5" customHeight="1">
      <c r="A25" s="5">
        <v>1045.0</v>
      </c>
      <c r="B25" s="5" t="s">
        <v>51</v>
      </c>
      <c r="C25" s="5" t="s">
        <v>34</v>
      </c>
      <c r="D25" s="5" t="s">
        <v>20</v>
      </c>
      <c r="E25" s="5">
        <v>20.0</v>
      </c>
      <c r="F25" s="5">
        <v>10.0</v>
      </c>
      <c r="G25" s="6">
        <v>45354.0</v>
      </c>
      <c r="H25" s="7">
        <v>200.0</v>
      </c>
      <c r="I25" s="4"/>
      <c r="J25" s="4"/>
      <c r="K25" s="4"/>
      <c r="L25" s="4"/>
      <c r="M25" s="4"/>
      <c r="N25" s="4"/>
    </row>
    <row r="26" ht="22.5" customHeight="1">
      <c r="A26" s="5">
        <v>1049.0</v>
      </c>
      <c r="B26" s="5" t="s">
        <v>52</v>
      </c>
      <c r="C26" s="5" t="s">
        <v>34</v>
      </c>
      <c r="D26" s="5" t="s">
        <v>29</v>
      </c>
      <c r="E26" s="5">
        <v>12.0</v>
      </c>
      <c r="F26" s="5">
        <v>50.0</v>
      </c>
      <c r="G26" s="6">
        <v>45476.0</v>
      </c>
      <c r="H26" s="7">
        <v>600.0</v>
      </c>
      <c r="I26" s="4"/>
      <c r="J26" s="4"/>
      <c r="K26" s="4"/>
      <c r="L26" s="4"/>
      <c r="M26" s="4"/>
      <c r="N26" s="4"/>
    </row>
    <row r="27" ht="22.5" customHeight="1">
      <c r="A27" s="5">
        <v>1002.0</v>
      </c>
      <c r="B27" s="5" t="s">
        <v>53</v>
      </c>
      <c r="C27" s="5" t="s">
        <v>54</v>
      </c>
      <c r="D27" s="5" t="s">
        <v>20</v>
      </c>
      <c r="E27" s="5">
        <v>20.0</v>
      </c>
      <c r="F27" s="5">
        <v>10.0</v>
      </c>
      <c r="G27" s="6">
        <v>45444.0</v>
      </c>
      <c r="H27" s="7">
        <v>200.0</v>
      </c>
      <c r="I27" s="4"/>
      <c r="J27" s="4"/>
      <c r="K27" s="4"/>
      <c r="L27" s="4"/>
      <c r="M27" s="4"/>
      <c r="N27" s="4"/>
    </row>
    <row r="28" ht="22.5" customHeight="1">
      <c r="A28" s="5">
        <v>1006.0</v>
      </c>
      <c r="B28" s="5" t="s">
        <v>55</v>
      </c>
      <c r="C28" s="5" t="s">
        <v>54</v>
      </c>
      <c r="D28" s="5" t="s">
        <v>29</v>
      </c>
      <c r="E28" s="5">
        <v>12.0</v>
      </c>
      <c r="F28" s="5">
        <v>50.0</v>
      </c>
      <c r="G28" s="6">
        <v>45597.0</v>
      </c>
      <c r="H28" s="7">
        <v>600.0</v>
      </c>
      <c r="I28" s="4"/>
      <c r="J28" s="4"/>
      <c r="K28" s="4"/>
      <c r="L28" s="4"/>
      <c r="M28" s="4"/>
      <c r="N28" s="4"/>
    </row>
    <row r="29" ht="22.5" customHeight="1">
      <c r="A29" s="5">
        <v>1010.0</v>
      </c>
      <c r="B29" s="5" t="s">
        <v>56</v>
      </c>
      <c r="C29" s="5" t="s">
        <v>54</v>
      </c>
      <c r="D29" s="5" t="s">
        <v>29</v>
      </c>
      <c r="E29" s="5">
        <v>8.0</v>
      </c>
      <c r="F29" s="5">
        <v>50.0</v>
      </c>
      <c r="G29" s="5" t="s">
        <v>57</v>
      </c>
      <c r="H29" s="7">
        <v>400.0</v>
      </c>
      <c r="I29" s="4"/>
      <c r="J29" s="4"/>
      <c r="K29" s="4"/>
      <c r="L29" s="4"/>
      <c r="M29" s="4"/>
      <c r="N29" s="4"/>
    </row>
    <row r="30" ht="22.5" customHeight="1">
      <c r="A30" s="5">
        <v>1014.0</v>
      </c>
      <c r="B30" s="5" t="s">
        <v>58</v>
      </c>
      <c r="C30" s="5" t="s">
        <v>54</v>
      </c>
      <c r="D30" s="5" t="s">
        <v>20</v>
      </c>
      <c r="E30" s="5">
        <v>28.0</v>
      </c>
      <c r="F30" s="5">
        <v>10.0</v>
      </c>
      <c r="G30" s="5" t="s">
        <v>59</v>
      </c>
      <c r="H30" s="7">
        <v>280.0</v>
      </c>
      <c r="I30" s="4"/>
      <c r="J30" s="4"/>
      <c r="K30" s="4"/>
      <c r="L30" s="4"/>
      <c r="M30" s="4"/>
      <c r="N30" s="4"/>
    </row>
    <row r="31" ht="22.5" customHeight="1">
      <c r="A31" s="5">
        <v>1018.0</v>
      </c>
      <c r="B31" s="5" t="s">
        <v>60</v>
      </c>
      <c r="C31" s="5" t="s">
        <v>54</v>
      </c>
      <c r="D31" s="5" t="s">
        <v>29</v>
      </c>
      <c r="E31" s="5">
        <v>10.0</v>
      </c>
      <c r="F31" s="5">
        <v>50.0</v>
      </c>
      <c r="G31" s="5" t="s">
        <v>61</v>
      </c>
      <c r="H31" s="7">
        <v>500.0</v>
      </c>
      <c r="I31" s="4"/>
      <c r="J31" s="4"/>
      <c r="K31" s="4"/>
      <c r="L31" s="4"/>
      <c r="M31" s="4"/>
      <c r="N31" s="4"/>
    </row>
    <row r="32" ht="22.5" customHeight="1">
      <c r="A32" s="5">
        <v>1022.0</v>
      </c>
      <c r="B32" s="5" t="s">
        <v>62</v>
      </c>
      <c r="C32" s="5" t="s">
        <v>54</v>
      </c>
      <c r="D32" s="5" t="s">
        <v>15</v>
      </c>
      <c r="E32" s="5">
        <v>35.0</v>
      </c>
      <c r="F32" s="5">
        <v>5.0</v>
      </c>
      <c r="G32" s="6">
        <v>45353.0</v>
      </c>
      <c r="H32" s="7">
        <v>175.0</v>
      </c>
      <c r="I32" s="4"/>
      <c r="J32" s="4"/>
      <c r="K32" s="4"/>
      <c r="L32" s="4"/>
      <c r="M32" s="4"/>
      <c r="N32" s="4"/>
    </row>
    <row r="33" ht="22.5" customHeight="1">
      <c r="A33" s="5">
        <v>1026.0</v>
      </c>
      <c r="B33" s="5" t="s">
        <v>63</v>
      </c>
      <c r="C33" s="5" t="s">
        <v>54</v>
      </c>
      <c r="D33" s="5" t="s">
        <v>10</v>
      </c>
      <c r="E33" s="5">
        <v>16.0</v>
      </c>
      <c r="F33" s="5">
        <v>25.0</v>
      </c>
      <c r="G33" s="6">
        <v>45506.0</v>
      </c>
      <c r="H33" s="7">
        <v>400.0</v>
      </c>
      <c r="I33" s="4"/>
      <c r="J33" s="4"/>
      <c r="K33" s="4"/>
      <c r="L33" s="4"/>
      <c r="M33" s="4"/>
      <c r="N33" s="4"/>
    </row>
    <row r="34" ht="22.5" customHeight="1">
      <c r="A34" s="5">
        <v>1030.0</v>
      </c>
      <c r="B34" s="5" t="s">
        <v>64</v>
      </c>
      <c r="C34" s="5" t="s">
        <v>54</v>
      </c>
      <c r="D34" s="5" t="s">
        <v>20</v>
      </c>
      <c r="E34" s="5">
        <v>32.0</v>
      </c>
      <c r="F34" s="5">
        <v>10.0</v>
      </c>
      <c r="G34" s="5" t="s">
        <v>65</v>
      </c>
      <c r="H34" s="7">
        <v>320.0</v>
      </c>
      <c r="I34" s="4"/>
      <c r="J34" s="4"/>
      <c r="K34" s="4"/>
      <c r="L34" s="4"/>
      <c r="M34" s="4"/>
      <c r="N34" s="4"/>
    </row>
    <row r="35" ht="22.5" customHeight="1">
      <c r="A35" s="5">
        <v>1034.0</v>
      </c>
      <c r="B35" s="5" t="s">
        <v>66</v>
      </c>
      <c r="C35" s="5" t="s">
        <v>54</v>
      </c>
      <c r="D35" s="5" t="s">
        <v>29</v>
      </c>
      <c r="E35" s="5">
        <v>17.0</v>
      </c>
      <c r="F35" s="5">
        <v>50.0</v>
      </c>
      <c r="G35" s="5" t="s">
        <v>67</v>
      </c>
      <c r="H35" s="7">
        <v>850.0</v>
      </c>
      <c r="I35" s="4"/>
      <c r="J35" s="4"/>
      <c r="K35" s="4"/>
      <c r="L35" s="4"/>
      <c r="M35" s="4"/>
      <c r="N35" s="4"/>
    </row>
    <row r="36" ht="22.5" customHeight="1">
      <c r="A36" s="5">
        <v>1038.0</v>
      </c>
      <c r="B36" s="5" t="s">
        <v>68</v>
      </c>
      <c r="C36" s="5" t="s">
        <v>54</v>
      </c>
      <c r="D36" s="5" t="s">
        <v>12</v>
      </c>
      <c r="E36" s="5">
        <v>24.0</v>
      </c>
      <c r="F36" s="5">
        <v>8.0</v>
      </c>
      <c r="G36" s="5" t="s">
        <v>69</v>
      </c>
      <c r="H36" s="7">
        <v>192.0</v>
      </c>
      <c r="I36" s="4"/>
      <c r="J36" s="4"/>
      <c r="K36" s="4"/>
      <c r="L36" s="4"/>
      <c r="M36" s="4"/>
      <c r="N36" s="4"/>
    </row>
    <row r="37" ht="22.5" customHeight="1">
      <c r="A37" s="5">
        <v>1042.0</v>
      </c>
      <c r="B37" s="5" t="s">
        <v>70</v>
      </c>
      <c r="C37" s="5" t="s">
        <v>54</v>
      </c>
      <c r="D37" s="5" t="s">
        <v>15</v>
      </c>
      <c r="E37" s="5">
        <v>30.0</v>
      </c>
      <c r="F37" s="5">
        <v>5.0</v>
      </c>
      <c r="G37" s="5" t="s">
        <v>71</v>
      </c>
      <c r="H37" s="7">
        <v>150.0</v>
      </c>
      <c r="I37" s="4"/>
      <c r="J37" s="4"/>
      <c r="K37" s="4"/>
      <c r="L37" s="4"/>
      <c r="M37" s="4"/>
      <c r="N37" s="4"/>
    </row>
    <row r="38" ht="22.5" customHeight="1">
      <c r="A38" s="5">
        <v>1046.0</v>
      </c>
      <c r="B38" s="5" t="s">
        <v>72</v>
      </c>
      <c r="C38" s="5" t="s">
        <v>54</v>
      </c>
      <c r="D38" s="5" t="s">
        <v>10</v>
      </c>
      <c r="E38" s="5">
        <v>17.0</v>
      </c>
      <c r="F38" s="5">
        <v>25.0</v>
      </c>
      <c r="G38" s="6">
        <v>45385.0</v>
      </c>
      <c r="H38" s="7">
        <v>425.0</v>
      </c>
      <c r="I38" s="4"/>
      <c r="J38" s="4"/>
      <c r="K38" s="4"/>
      <c r="L38" s="4"/>
      <c r="M38" s="4"/>
      <c r="N38" s="4"/>
    </row>
    <row r="39" ht="22.5" customHeight="1">
      <c r="A39" s="5">
        <v>1050.0</v>
      </c>
      <c r="B39" s="5" t="s">
        <v>73</v>
      </c>
      <c r="C39" s="5" t="s">
        <v>54</v>
      </c>
      <c r="D39" s="5" t="s">
        <v>20</v>
      </c>
      <c r="E39" s="5">
        <v>25.0</v>
      </c>
      <c r="F39" s="5">
        <v>10.0</v>
      </c>
      <c r="G39" s="6">
        <v>45507.0</v>
      </c>
      <c r="H39" s="7">
        <v>250.0</v>
      </c>
      <c r="I39" s="4"/>
      <c r="J39" s="4"/>
      <c r="K39" s="4"/>
      <c r="L39" s="4"/>
      <c r="M39" s="4"/>
      <c r="N39" s="4"/>
    </row>
    <row r="40" ht="22.5" customHeight="1">
      <c r="A40" s="5">
        <v>1004.0</v>
      </c>
      <c r="B40" s="5" t="s">
        <v>74</v>
      </c>
      <c r="C40" s="5" t="s">
        <v>75</v>
      </c>
      <c r="D40" s="5" t="s">
        <v>29</v>
      </c>
      <c r="E40" s="5">
        <v>5.0</v>
      </c>
      <c r="F40" s="5">
        <v>50.0</v>
      </c>
      <c r="G40" s="6">
        <v>45505.0</v>
      </c>
      <c r="H40" s="7">
        <v>250.0</v>
      </c>
      <c r="I40" s="4"/>
      <c r="J40" s="4"/>
      <c r="K40" s="4"/>
      <c r="L40" s="4"/>
      <c r="M40" s="4"/>
      <c r="N40" s="4"/>
    </row>
    <row r="41" ht="22.5" customHeight="1">
      <c r="A41" s="5">
        <v>1008.0</v>
      </c>
      <c r="B41" s="5" t="s">
        <v>76</v>
      </c>
      <c r="C41" s="5" t="s">
        <v>75</v>
      </c>
      <c r="D41" s="5" t="s">
        <v>20</v>
      </c>
      <c r="E41" s="5">
        <v>18.0</v>
      </c>
      <c r="F41" s="5">
        <v>10.0</v>
      </c>
      <c r="G41" s="5" t="s">
        <v>77</v>
      </c>
      <c r="H41" s="7">
        <v>180.0</v>
      </c>
      <c r="I41" s="4"/>
      <c r="J41" s="4"/>
      <c r="K41" s="4"/>
      <c r="L41" s="4"/>
      <c r="M41" s="4"/>
      <c r="N41" s="4"/>
    </row>
    <row r="42" ht="22.5" customHeight="1">
      <c r="A42" s="5">
        <v>1012.0</v>
      </c>
      <c r="B42" s="5" t="s">
        <v>78</v>
      </c>
      <c r="C42" s="5" t="s">
        <v>75</v>
      </c>
      <c r="D42" s="5" t="s">
        <v>12</v>
      </c>
      <c r="E42" s="5">
        <v>35.0</v>
      </c>
      <c r="F42" s="5">
        <v>8.0</v>
      </c>
      <c r="G42" s="5" t="s">
        <v>79</v>
      </c>
      <c r="H42" s="7">
        <v>280.0</v>
      </c>
      <c r="I42" s="4"/>
      <c r="J42" s="4"/>
      <c r="K42" s="4"/>
      <c r="L42" s="4"/>
      <c r="M42" s="4"/>
      <c r="N42" s="4"/>
    </row>
    <row r="43" ht="22.5" customHeight="1">
      <c r="A43" s="5">
        <v>1016.0</v>
      </c>
      <c r="B43" s="5" t="s">
        <v>80</v>
      </c>
      <c r="C43" s="5" t="s">
        <v>75</v>
      </c>
      <c r="D43" s="5" t="s">
        <v>15</v>
      </c>
      <c r="E43" s="5">
        <v>25.0</v>
      </c>
      <c r="F43" s="5">
        <v>5.0</v>
      </c>
      <c r="G43" s="5" t="s">
        <v>81</v>
      </c>
      <c r="H43" s="7">
        <v>125.0</v>
      </c>
      <c r="I43" s="4"/>
      <c r="J43" s="4"/>
      <c r="K43" s="4"/>
      <c r="L43" s="4"/>
      <c r="M43" s="4"/>
      <c r="N43" s="4"/>
    </row>
    <row r="44" ht="22.5" customHeight="1">
      <c r="A44" s="5">
        <v>1020.0</v>
      </c>
      <c r="B44" s="5" t="s">
        <v>82</v>
      </c>
      <c r="C44" s="5" t="s">
        <v>75</v>
      </c>
      <c r="D44" s="5" t="s">
        <v>10</v>
      </c>
      <c r="E44" s="5">
        <v>18.0</v>
      </c>
      <c r="F44" s="5">
        <v>25.0</v>
      </c>
      <c r="G44" s="6">
        <v>45293.0</v>
      </c>
      <c r="H44" s="7">
        <v>450.0</v>
      </c>
      <c r="I44" s="4"/>
      <c r="J44" s="4"/>
      <c r="K44" s="4"/>
      <c r="L44" s="4"/>
      <c r="M44" s="4"/>
      <c r="N44" s="4"/>
    </row>
    <row r="45" ht="22.5" customHeight="1">
      <c r="A45" s="5">
        <v>1024.0</v>
      </c>
      <c r="B45" s="5" t="s">
        <v>83</v>
      </c>
      <c r="C45" s="5" t="s">
        <v>75</v>
      </c>
      <c r="D45" s="5" t="s">
        <v>29</v>
      </c>
      <c r="E45" s="5">
        <v>11.0</v>
      </c>
      <c r="F45" s="5">
        <v>50.0</v>
      </c>
      <c r="G45" s="6">
        <v>45445.0</v>
      </c>
      <c r="H45" s="7">
        <v>550.0</v>
      </c>
      <c r="I45" s="4"/>
      <c r="J45" s="4"/>
      <c r="K45" s="4"/>
      <c r="L45" s="4"/>
      <c r="M45" s="4"/>
      <c r="N45" s="4"/>
    </row>
    <row r="46" ht="22.5" customHeight="1">
      <c r="A46" s="5">
        <v>1028.0</v>
      </c>
      <c r="B46" s="5" t="s">
        <v>84</v>
      </c>
      <c r="C46" s="5" t="s">
        <v>75</v>
      </c>
      <c r="D46" s="5" t="s">
        <v>12</v>
      </c>
      <c r="E46" s="5">
        <v>27.0</v>
      </c>
      <c r="F46" s="5">
        <v>8.0</v>
      </c>
      <c r="G46" s="6">
        <v>45567.0</v>
      </c>
      <c r="H46" s="7">
        <v>216.0</v>
      </c>
      <c r="I46" s="4"/>
      <c r="J46" s="4"/>
      <c r="K46" s="4"/>
      <c r="L46" s="4"/>
      <c r="M46" s="4"/>
      <c r="N46" s="4"/>
    </row>
    <row r="47" ht="22.5" customHeight="1">
      <c r="A47" s="5">
        <v>1032.0</v>
      </c>
      <c r="B47" s="5" t="s">
        <v>85</v>
      </c>
      <c r="C47" s="5" t="s">
        <v>75</v>
      </c>
      <c r="D47" s="5" t="s">
        <v>15</v>
      </c>
      <c r="E47" s="5">
        <v>18.0</v>
      </c>
      <c r="F47" s="5">
        <v>5.0</v>
      </c>
      <c r="G47" s="5" t="s">
        <v>86</v>
      </c>
      <c r="H47" s="7">
        <v>90.0</v>
      </c>
      <c r="I47" s="4"/>
      <c r="J47" s="4"/>
      <c r="K47" s="4"/>
      <c r="L47" s="4"/>
      <c r="M47" s="4"/>
      <c r="N47" s="4"/>
    </row>
    <row r="48" ht="22.5" customHeight="1">
      <c r="A48" s="5">
        <v>1036.0</v>
      </c>
      <c r="B48" s="5" t="s">
        <v>87</v>
      </c>
      <c r="C48" s="5" t="s">
        <v>75</v>
      </c>
      <c r="D48" s="5" t="s">
        <v>10</v>
      </c>
      <c r="E48" s="5">
        <v>15.0</v>
      </c>
      <c r="F48" s="5">
        <v>25.0</v>
      </c>
      <c r="G48" s="5" t="s">
        <v>88</v>
      </c>
      <c r="H48" s="7">
        <v>375.0</v>
      </c>
      <c r="I48" s="4"/>
      <c r="J48" s="4"/>
      <c r="K48" s="4"/>
      <c r="L48" s="4"/>
      <c r="M48" s="4"/>
      <c r="N48" s="4"/>
    </row>
    <row r="49" ht="22.5" customHeight="1">
      <c r="A49" s="5">
        <v>1040.0</v>
      </c>
      <c r="B49" s="5" t="s">
        <v>89</v>
      </c>
      <c r="C49" s="5" t="s">
        <v>75</v>
      </c>
      <c r="D49" s="5" t="s">
        <v>20</v>
      </c>
      <c r="E49" s="5">
        <v>27.0</v>
      </c>
      <c r="F49" s="5">
        <v>10.0</v>
      </c>
      <c r="G49" s="5" t="s">
        <v>90</v>
      </c>
      <c r="H49" s="7">
        <v>270.0</v>
      </c>
      <c r="I49" s="4"/>
      <c r="J49" s="4"/>
      <c r="K49" s="4"/>
      <c r="L49" s="4"/>
      <c r="M49" s="4"/>
      <c r="N49" s="4"/>
    </row>
    <row r="50" ht="22.5" customHeight="1">
      <c r="A50" s="5">
        <v>1044.0</v>
      </c>
      <c r="B50" s="5" t="s">
        <v>91</v>
      </c>
      <c r="C50" s="5" t="s">
        <v>75</v>
      </c>
      <c r="D50" s="5" t="s">
        <v>29</v>
      </c>
      <c r="E50" s="5">
        <v>14.0</v>
      </c>
      <c r="F50" s="5">
        <v>50.0</v>
      </c>
      <c r="G50" s="6">
        <v>45325.0</v>
      </c>
      <c r="H50" s="7">
        <v>700.0</v>
      </c>
      <c r="I50" s="4"/>
      <c r="J50" s="4"/>
      <c r="K50" s="4"/>
      <c r="L50" s="4"/>
      <c r="M50" s="4"/>
      <c r="N50" s="4"/>
    </row>
    <row r="51" ht="22.5" customHeight="1">
      <c r="A51" s="5">
        <v>1048.0</v>
      </c>
      <c r="B51" s="5" t="s">
        <v>92</v>
      </c>
      <c r="C51" s="5" t="s">
        <v>75</v>
      </c>
      <c r="D51" s="5" t="s">
        <v>12</v>
      </c>
      <c r="E51" s="5">
        <v>32.0</v>
      </c>
      <c r="F51" s="5">
        <v>8.0</v>
      </c>
      <c r="G51" s="6">
        <v>45446.0</v>
      </c>
      <c r="H51" s="7">
        <v>256.0</v>
      </c>
      <c r="I51" s="4"/>
      <c r="J51" s="4"/>
      <c r="K51" s="4"/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9" t="s">
        <v>93</v>
      </c>
      <c r="H54" s="4"/>
      <c r="I54" s="4"/>
      <c r="J54" s="4"/>
      <c r="K54" s="4"/>
      <c r="L54" s="4"/>
      <c r="M54" s="4"/>
      <c r="N54" s="4"/>
    </row>
    <row r="55">
      <c r="A55" s="10" t="s">
        <v>94</v>
      </c>
      <c r="B55" s="11" t="s">
        <v>95</v>
      </c>
      <c r="C55" s="11" t="s">
        <v>96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12">
        <v>1.0</v>
      </c>
      <c r="B56" s="11" t="s">
        <v>97</v>
      </c>
      <c r="C56" s="11">
        <v>500000.0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12">
        <v>2.0</v>
      </c>
      <c r="B57" s="11" t="s">
        <v>98</v>
      </c>
      <c r="C57" s="11">
        <v>10500.0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12">
        <v>3.0</v>
      </c>
      <c r="B58" s="11" t="s">
        <v>99</v>
      </c>
      <c r="C58" s="11">
        <v>25000.0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>
      <c r="A59" s="12" t="s">
        <v>100</v>
      </c>
      <c r="B59" s="12">
        <f>sum(C56:C57)</f>
        <v>510500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>
      <c r="A61" s="13" t="s">
        <v>101</v>
      </c>
      <c r="I61" s="4"/>
      <c r="J61" s="4"/>
      <c r="K61" s="4"/>
      <c r="L61" s="4"/>
      <c r="M61" s="4"/>
      <c r="N61" s="4"/>
    </row>
    <row r="62">
      <c r="I62" s="4"/>
      <c r="J62" s="4"/>
      <c r="K62" s="4"/>
      <c r="L62" s="4"/>
      <c r="M62" s="4"/>
      <c r="N62" s="4"/>
    </row>
    <row r="63">
      <c r="A63" s="14" t="s">
        <v>102</v>
      </c>
      <c r="B63" s="14" t="s">
        <v>103</v>
      </c>
      <c r="C63" s="14" t="s">
        <v>104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14" t="s">
        <v>105</v>
      </c>
      <c r="B64" s="14">
        <v>90.0</v>
      </c>
      <c r="C64" s="14">
        <v>1000.0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>
      <c r="A65" s="14" t="s">
        <v>106</v>
      </c>
      <c r="B65" s="14">
        <v>150.0</v>
      </c>
      <c r="C65" s="14">
        <v>1200.0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14" t="s">
        <v>107</v>
      </c>
      <c r="B66" s="14">
        <v>250.0</v>
      </c>
      <c r="C66" s="14">
        <v>1500.0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15" t="s">
        <v>108</v>
      </c>
      <c r="B67" s="16">
        <f>averageifs(C64:C66,B64:B66,"&gt;100",B64:B66,"&lt;300")</f>
        <v>1350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17" t="s">
        <v>0</v>
      </c>
      <c r="B69" s="17" t="s">
        <v>1</v>
      </c>
      <c r="C69" s="18" t="s">
        <v>2</v>
      </c>
      <c r="D69" s="17" t="s">
        <v>3</v>
      </c>
      <c r="E69" s="17" t="s">
        <v>4</v>
      </c>
      <c r="F69" s="17" t="s">
        <v>5</v>
      </c>
      <c r="G69" s="17" t="s">
        <v>6</v>
      </c>
      <c r="H69" s="19" t="s">
        <v>7</v>
      </c>
      <c r="I69" s="20"/>
      <c r="J69" s="20"/>
      <c r="K69" s="20"/>
      <c r="L69" s="20"/>
      <c r="M69" s="20"/>
      <c r="N69" s="20"/>
    </row>
    <row r="70">
      <c r="A70" s="11">
        <v>1001.0</v>
      </c>
      <c r="B70" s="11" t="s">
        <v>33</v>
      </c>
      <c r="C70" s="11" t="s">
        <v>34</v>
      </c>
      <c r="D70" s="11" t="s">
        <v>29</v>
      </c>
      <c r="E70" s="11">
        <v>10.0</v>
      </c>
      <c r="F70" s="11">
        <v>50.0</v>
      </c>
      <c r="G70" s="21">
        <v>45413.0</v>
      </c>
      <c r="H70" s="14">
        <v>500.0</v>
      </c>
      <c r="I70" s="20"/>
      <c r="J70" s="20"/>
      <c r="K70" s="20"/>
      <c r="L70" s="20"/>
      <c r="M70" s="20"/>
      <c r="N70" s="20"/>
    </row>
    <row r="71">
      <c r="A71" s="11">
        <v>1002.0</v>
      </c>
      <c r="B71" s="11" t="s">
        <v>53</v>
      </c>
      <c r="C71" s="11" t="s">
        <v>54</v>
      </c>
      <c r="D71" s="11" t="s">
        <v>20</v>
      </c>
      <c r="E71" s="11">
        <v>20.0</v>
      </c>
      <c r="F71" s="11">
        <v>10.0</v>
      </c>
      <c r="G71" s="22">
        <v>45444.0</v>
      </c>
      <c r="H71" s="14">
        <v>200.0</v>
      </c>
      <c r="I71" s="20"/>
      <c r="J71" s="20"/>
      <c r="K71" s="20"/>
      <c r="L71" s="20"/>
      <c r="M71" s="20"/>
      <c r="N71" s="20"/>
    </row>
    <row r="72">
      <c r="A72" s="11">
        <v>1003.0</v>
      </c>
      <c r="B72" s="11" t="s">
        <v>8</v>
      </c>
      <c r="C72" s="11" t="s">
        <v>9</v>
      </c>
      <c r="D72" s="11" t="s">
        <v>10</v>
      </c>
      <c r="E72" s="11">
        <v>15.0</v>
      </c>
      <c r="F72" s="11">
        <v>25.0</v>
      </c>
      <c r="G72" s="22">
        <v>45474.0</v>
      </c>
      <c r="H72" s="14">
        <v>375.0</v>
      </c>
      <c r="I72" s="20"/>
      <c r="J72" s="20"/>
      <c r="K72" s="20"/>
      <c r="L72" s="20"/>
      <c r="M72" s="20"/>
      <c r="N72" s="20"/>
    </row>
    <row r="73">
      <c r="A73" s="11">
        <v>1004.0</v>
      </c>
      <c r="B73" s="11" t="s">
        <v>74</v>
      </c>
      <c r="C73" s="11" t="s">
        <v>75</v>
      </c>
      <c r="D73" s="11" t="s">
        <v>29</v>
      </c>
      <c r="E73" s="11">
        <v>5.0</v>
      </c>
      <c r="F73" s="11">
        <v>50.0</v>
      </c>
      <c r="G73" s="22">
        <v>45505.0</v>
      </c>
      <c r="H73" s="14">
        <v>250.0</v>
      </c>
      <c r="I73" s="20"/>
      <c r="J73" s="20"/>
      <c r="K73" s="20"/>
      <c r="L73" s="20"/>
      <c r="M73" s="20"/>
      <c r="N73" s="20"/>
    </row>
    <row r="74">
      <c r="A74" s="11">
        <v>1005.0</v>
      </c>
      <c r="B74" s="11" t="s">
        <v>35</v>
      </c>
      <c r="C74" s="11" t="s">
        <v>34</v>
      </c>
      <c r="D74" s="11" t="s">
        <v>15</v>
      </c>
      <c r="E74" s="11">
        <v>30.0</v>
      </c>
      <c r="F74" s="11">
        <v>5.0</v>
      </c>
      <c r="G74" s="22">
        <v>45566.0</v>
      </c>
      <c r="H74" s="14">
        <v>150.0</v>
      </c>
      <c r="I74" s="20"/>
      <c r="J74" s="20"/>
      <c r="K74" s="20"/>
      <c r="L74" s="20"/>
      <c r="M74" s="20"/>
      <c r="N74" s="20"/>
    </row>
    <row r="75">
      <c r="A75" s="11">
        <v>1006.0</v>
      </c>
      <c r="B75" s="11" t="s">
        <v>55</v>
      </c>
      <c r="C75" s="11" t="s">
        <v>54</v>
      </c>
      <c r="D75" s="11" t="s">
        <v>29</v>
      </c>
      <c r="E75" s="11">
        <v>12.0</v>
      </c>
      <c r="F75" s="11">
        <v>50.0</v>
      </c>
      <c r="G75" s="22">
        <v>45597.0</v>
      </c>
      <c r="H75" s="14">
        <v>600.0</v>
      </c>
      <c r="I75" s="20"/>
      <c r="J75" s="20"/>
      <c r="K75" s="20"/>
      <c r="L75" s="20"/>
      <c r="M75" s="20"/>
      <c r="N75" s="20"/>
    </row>
    <row r="76">
      <c r="A76" s="11">
        <v>1007.0</v>
      </c>
      <c r="B76" s="11" t="s">
        <v>11</v>
      </c>
      <c r="C76" s="11" t="s">
        <v>9</v>
      </c>
      <c r="D76" s="11" t="s">
        <v>12</v>
      </c>
      <c r="E76" s="11">
        <v>25.0</v>
      </c>
      <c r="F76" s="11">
        <v>8.0</v>
      </c>
      <c r="G76" s="11" t="s">
        <v>13</v>
      </c>
      <c r="H76" s="14">
        <v>200.0</v>
      </c>
      <c r="I76" s="20"/>
      <c r="J76" s="20"/>
      <c r="K76" s="20"/>
      <c r="L76" s="20"/>
      <c r="M76" s="20"/>
      <c r="N76" s="20"/>
    </row>
    <row r="77">
      <c r="A77" s="11">
        <v>1008.0</v>
      </c>
      <c r="B77" s="11" t="s">
        <v>76</v>
      </c>
      <c r="C77" s="11" t="s">
        <v>75</v>
      </c>
      <c r="D77" s="11" t="s">
        <v>20</v>
      </c>
      <c r="E77" s="11">
        <v>18.0</v>
      </c>
      <c r="F77" s="11">
        <v>10.0</v>
      </c>
      <c r="G77" s="11" t="s">
        <v>77</v>
      </c>
      <c r="H77" s="14">
        <v>180.0</v>
      </c>
      <c r="I77" s="20"/>
      <c r="J77" s="20"/>
      <c r="K77" s="20"/>
      <c r="L77" s="20"/>
      <c r="M77" s="20"/>
      <c r="N77" s="20"/>
    </row>
    <row r="78">
      <c r="A78" s="11">
        <v>1009.0</v>
      </c>
      <c r="B78" s="11" t="s">
        <v>36</v>
      </c>
      <c r="C78" s="11" t="s">
        <v>34</v>
      </c>
      <c r="D78" s="11" t="s">
        <v>10</v>
      </c>
      <c r="E78" s="11">
        <v>22.0</v>
      </c>
      <c r="F78" s="11">
        <v>25.0</v>
      </c>
      <c r="G78" s="11" t="s">
        <v>37</v>
      </c>
      <c r="H78" s="14">
        <v>550.0</v>
      </c>
      <c r="I78" s="20"/>
      <c r="J78" s="20"/>
      <c r="K78" s="20"/>
      <c r="L78" s="20"/>
      <c r="M78" s="20"/>
      <c r="N78" s="20"/>
    </row>
    <row r="79">
      <c r="A79" s="11">
        <v>1010.0</v>
      </c>
      <c r="B79" s="11" t="s">
        <v>56</v>
      </c>
      <c r="C79" s="11" t="s">
        <v>54</v>
      </c>
      <c r="D79" s="11" t="s">
        <v>29</v>
      </c>
      <c r="E79" s="11">
        <v>8.0</v>
      </c>
      <c r="F79" s="11">
        <v>50.0</v>
      </c>
      <c r="G79" s="11" t="s">
        <v>57</v>
      </c>
      <c r="H79" s="14">
        <v>400.0</v>
      </c>
      <c r="I79" s="20"/>
      <c r="J79" s="20"/>
      <c r="K79" s="20"/>
      <c r="L79" s="20"/>
      <c r="M79" s="20"/>
      <c r="N79" s="20"/>
    </row>
    <row r="80">
      <c r="A80" s="11">
        <v>1011.0</v>
      </c>
      <c r="B80" s="11" t="s">
        <v>14</v>
      </c>
      <c r="C80" s="11" t="s">
        <v>9</v>
      </c>
      <c r="D80" s="11" t="s">
        <v>15</v>
      </c>
      <c r="E80" s="11">
        <v>40.0</v>
      </c>
      <c r="F80" s="11">
        <v>5.0</v>
      </c>
      <c r="G80" s="11" t="s">
        <v>16</v>
      </c>
      <c r="H80" s="14">
        <v>200.0</v>
      </c>
      <c r="I80" s="20"/>
      <c r="J80" s="20"/>
      <c r="K80" s="20"/>
      <c r="L80" s="20"/>
      <c r="M80" s="20"/>
      <c r="N80" s="20"/>
    </row>
    <row r="81">
      <c r="A81" s="11">
        <v>1012.0</v>
      </c>
      <c r="B81" s="11" t="s">
        <v>78</v>
      </c>
      <c r="C81" s="11" t="s">
        <v>75</v>
      </c>
      <c r="D81" s="11" t="s">
        <v>12</v>
      </c>
      <c r="E81" s="11">
        <v>35.0</v>
      </c>
      <c r="F81" s="11">
        <v>8.0</v>
      </c>
      <c r="G81" s="11" t="s">
        <v>79</v>
      </c>
      <c r="H81" s="14">
        <v>280.0</v>
      </c>
      <c r="I81" s="20"/>
      <c r="J81" s="20"/>
      <c r="K81" s="20"/>
      <c r="L81" s="20"/>
      <c r="M81" s="20"/>
      <c r="N81" s="20"/>
    </row>
    <row r="82">
      <c r="A82" s="11">
        <v>1013.0</v>
      </c>
      <c r="B82" s="11" t="s">
        <v>38</v>
      </c>
      <c r="C82" s="11" t="s">
        <v>34</v>
      </c>
      <c r="D82" s="11" t="s">
        <v>29</v>
      </c>
      <c r="E82" s="11">
        <v>14.0</v>
      </c>
      <c r="F82" s="11">
        <v>50.0</v>
      </c>
      <c r="G82" s="11" t="s">
        <v>39</v>
      </c>
      <c r="H82" s="14">
        <v>700.0</v>
      </c>
      <c r="I82" s="20"/>
      <c r="J82" s="20"/>
      <c r="K82" s="20"/>
      <c r="L82" s="20"/>
      <c r="M82" s="20"/>
      <c r="N82" s="20"/>
    </row>
    <row r="83">
      <c r="A83" s="11">
        <v>1014.0</v>
      </c>
      <c r="B83" s="11" t="s">
        <v>58</v>
      </c>
      <c r="C83" s="11" t="s">
        <v>54</v>
      </c>
      <c r="D83" s="11" t="s">
        <v>20</v>
      </c>
      <c r="E83" s="11">
        <v>28.0</v>
      </c>
      <c r="F83" s="11">
        <v>10.0</v>
      </c>
      <c r="G83" s="11" t="s">
        <v>59</v>
      </c>
      <c r="H83" s="14">
        <v>280.0</v>
      </c>
      <c r="I83" s="20"/>
      <c r="J83" s="20"/>
      <c r="K83" s="20"/>
      <c r="L83" s="20"/>
      <c r="M83" s="20"/>
      <c r="N83" s="20"/>
    </row>
    <row r="84">
      <c r="A84" s="11">
        <v>1015.0</v>
      </c>
      <c r="B84" s="11" t="s">
        <v>17</v>
      </c>
      <c r="C84" s="11" t="s">
        <v>9</v>
      </c>
      <c r="D84" s="11" t="s">
        <v>10</v>
      </c>
      <c r="E84" s="11">
        <v>12.0</v>
      </c>
      <c r="F84" s="11">
        <v>25.0</v>
      </c>
      <c r="G84" s="11" t="s">
        <v>18</v>
      </c>
      <c r="H84" s="14">
        <v>300.0</v>
      </c>
      <c r="I84" s="20"/>
      <c r="J84" s="20"/>
      <c r="K84" s="20"/>
      <c r="L84" s="20"/>
      <c r="M84" s="20"/>
      <c r="N84" s="20"/>
    </row>
    <row r="85">
      <c r="A85" s="11">
        <v>1016.0</v>
      </c>
      <c r="B85" s="11" t="s">
        <v>80</v>
      </c>
      <c r="C85" s="11" t="s">
        <v>75</v>
      </c>
      <c r="D85" s="11" t="s">
        <v>15</v>
      </c>
      <c r="E85" s="11">
        <v>25.0</v>
      </c>
      <c r="F85" s="11">
        <v>5.0</v>
      </c>
      <c r="G85" s="11" t="s">
        <v>81</v>
      </c>
      <c r="H85" s="14">
        <v>125.0</v>
      </c>
      <c r="I85" s="20"/>
      <c r="J85" s="20"/>
      <c r="K85" s="20"/>
      <c r="L85" s="20"/>
      <c r="M85" s="20"/>
      <c r="N85" s="20"/>
    </row>
    <row r="86">
      <c r="A86" s="11">
        <v>1017.0</v>
      </c>
      <c r="B86" s="11" t="s">
        <v>40</v>
      </c>
      <c r="C86" s="11" t="s">
        <v>34</v>
      </c>
      <c r="D86" s="11" t="s">
        <v>12</v>
      </c>
      <c r="E86" s="11">
        <v>20.0</v>
      </c>
      <c r="F86" s="11">
        <v>8.0</v>
      </c>
      <c r="G86" s="11" t="s">
        <v>41</v>
      </c>
      <c r="H86" s="14">
        <v>160.0</v>
      </c>
      <c r="I86" s="20"/>
      <c r="J86" s="20"/>
      <c r="K86" s="20"/>
      <c r="L86" s="20"/>
      <c r="M86" s="20"/>
      <c r="N86" s="20"/>
    </row>
    <row r="87">
      <c r="A87" s="11">
        <v>1018.0</v>
      </c>
      <c r="B87" s="11" t="s">
        <v>60</v>
      </c>
      <c r="C87" s="11" t="s">
        <v>54</v>
      </c>
      <c r="D87" s="11" t="s">
        <v>29</v>
      </c>
      <c r="E87" s="11">
        <v>10.0</v>
      </c>
      <c r="F87" s="11">
        <v>50.0</v>
      </c>
      <c r="G87" s="11" t="s">
        <v>61</v>
      </c>
      <c r="H87" s="14">
        <v>500.0</v>
      </c>
      <c r="I87" s="20"/>
      <c r="J87" s="20"/>
      <c r="K87" s="20"/>
      <c r="L87" s="20"/>
      <c r="M87" s="20"/>
      <c r="N87" s="20"/>
    </row>
    <row r="88">
      <c r="A88" s="11">
        <v>1019.0</v>
      </c>
      <c r="B88" s="11" t="s">
        <v>19</v>
      </c>
      <c r="C88" s="11" t="s">
        <v>9</v>
      </c>
      <c r="D88" s="11" t="s">
        <v>20</v>
      </c>
      <c r="E88" s="11">
        <v>15.0</v>
      </c>
      <c r="F88" s="11">
        <v>10.0</v>
      </c>
      <c r="G88" s="11" t="s">
        <v>21</v>
      </c>
      <c r="H88" s="14">
        <v>150.0</v>
      </c>
      <c r="I88" s="20"/>
      <c r="J88" s="20"/>
      <c r="K88" s="20"/>
      <c r="L88" s="20"/>
      <c r="M88" s="20"/>
      <c r="N88" s="20"/>
    </row>
    <row r="89">
      <c r="A89" s="11">
        <v>1020.0</v>
      </c>
      <c r="B89" s="11" t="s">
        <v>82</v>
      </c>
      <c r="C89" s="11" t="s">
        <v>75</v>
      </c>
      <c r="D89" s="11" t="s">
        <v>10</v>
      </c>
      <c r="E89" s="11">
        <v>18.0</v>
      </c>
      <c r="F89" s="11">
        <v>25.0</v>
      </c>
      <c r="G89" s="22">
        <v>45293.0</v>
      </c>
      <c r="H89" s="14">
        <v>450.0</v>
      </c>
      <c r="I89" s="20"/>
      <c r="J89" s="20"/>
      <c r="K89" s="20"/>
      <c r="L89" s="20"/>
      <c r="M89" s="20"/>
      <c r="N89" s="20"/>
    </row>
    <row r="90">
      <c r="A90" s="11">
        <v>1021.0</v>
      </c>
      <c r="B90" s="11" t="s">
        <v>42</v>
      </c>
      <c r="C90" s="11" t="s">
        <v>34</v>
      </c>
      <c r="D90" s="11" t="s">
        <v>29</v>
      </c>
      <c r="E90" s="11">
        <v>9.0</v>
      </c>
      <c r="F90" s="11">
        <v>50.0</v>
      </c>
      <c r="G90" s="22">
        <v>45324.0</v>
      </c>
      <c r="H90" s="14">
        <v>450.0</v>
      </c>
      <c r="I90" s="20"/>
      <c r="J90" s="20"/>
      <c r="K90" s="20"/>
      <c r="L90" s="20"/>
      <c r="M90" s="20"/>
      <c r="N90" s="20"/>
    </row>
    <row r="91">
      <c r="A91" s="11">
        <v>1022.0</v>
      </c>
      <c r="B91" s="11" t="s">
        <v>62</v>
      </c>
      <c r="C91" s="11" t="s">
        <v>54</v>
      </c>
      <c r="D91" s="11" t="s">
        <v>15</v>
      </c>
      <c r="E91" s="11">
        <v>35.0</v>
      </c>
      <c r="F91" s="11">
        <v>5.0</v>
      </c>
      <c r="G91" s="22">
        <v>45353.0</v>
      </c>
      <c r="H91" s="14">
        <v>175.0</v>
      </c>
      <c r="I91" s="20"/>
      <c r="J91" s="20"/>
      <c r="K91" s="20"/>
      <c r="L91" s="20"/>
      <c r="M91" s="20"/>
      <c r="N91" s="20"/>
    </row>
    <row r="92">
      <c r="A92" s="11">
        <v>1023.0</v>
      </c>
      <c r="B92" s="11" t="s">
        <v>22</v>
      </c>
      <c r="C92" s="11" t="s">
        <v>9</v>
      </c>
      <c r="D92" s="11" t="s">
        <v>12</v>
      </c>
      <c r="E92" s="11">
        <v>30.0</v>
      </c>
      <c r="F92" s="11">
        <v>8.0</v>
      </c>
      <c r="G92" s="22">
        <v>45384.0</v>
      </c>
      <c r="H92" s="14">
        <v>240.0</v>
      </c>
      <c r="I92" s="20"/>
      <c r="J92" s="20"/>
      <c r="K92" s="20"/>
      <c r="L92" s="20"/>
      <c r="M92" s="20"/>
      <c r="N92" s="20"/>
    </row>
    <row r="93">
      <c r="A93" s="11">
        <v>1024.0</v>
      </c>
      <c r="B93" s="11" t="s">
        <v>83</v>
      </c>
      <c r="C93" s="11" t="s">
        <v>75</v>
      </c>
      <c r="D93" s="11" t="s">
        <v>29</v>
      </c>
      <c r="E93" s="11">
        <v>11.0</v>
      </c>
      <c r="F93" s="11">
        <v>50.0</v>
      </c>
      <c r="G93" s="22">
        <v>45445.0</v>
      </c>
      <c r="H93" s="14">
        <v>550.0</v>
      </c>
      <c r="I93" s="20"/>
      <c r="J93" s="20"/>
      <c r="K93" s="20"/>
      <c r="L93" s="20"/>
      <c r="M93" s="20"/>
      <c r="N93" s="20"/>
    </row>
    <row r="94">
      <c r="A94" s="11">
        <v>1025.0</v>
      </c>
      <c r="B94" s="11" t="s">
        <v>43</v>
      </c>
      <c r="C94" s="11" t="s">
        <v>34</v>
      </c>
      <c r="D94" s="11" t="s">
        <v>20</v>
      </c>
      <c r="E94" s="11">
        <v>14.0</v>
      </c>
      <c r="F94" s="11">
        <v>10.0</v>
      </c>
      <c r="G94" s="22">
        <v>45475.0</v>
      </c>
      <c r="H94" s="14">
        <v>140.0</v>
      </c>
      <c r="I94" s="20"/>
      <c r="J94" s="20"/>
      <c r="K94" s="20"/>
      <c r="L94" s="20"/>
      <c r="M94" s="20"/>
      <c r="N94" s="20"/>
    </row>
    <row r="95">
      <c r="A95" s="11">
        <v>1026.0</v>
      </c>
      <c r="B95" s="13" t="s">
        <v>63</v>
      </c>
      <c r="C95" s="13" t="s">
        <v>54</v>
      </c>
      <c r="D95" s="13" t="s">
        <v>10</v>
      </c>
      <c r="E95" s="13">
        <v>16.0</v>
      </c>
      <c r="F95" s="13">
        <v>25.0</v>
      </c>
      <c r="G95" s="23">
        <v>45506.0</v>
      </c>
      <c r="H95" s="24">
        <v>400.0</v>
      </c>
      <c r="I95" s="20"/>
      <c r="J95" s="20"/>
      <c r="K95" s="20"/>
      <c r="L95" s="20"/>
      <c r="M95" s="20"/>
      <c r="N95" s="20"/>
    </row>
    <row r="96">
      <c r="A96" s="11">
        <v>1027.0</v>
      </c>
      <c r="B96" s="11" t="s">
        <v>23</v>
      </c>
      <c r="C96" s="11" t="s">
        <v>9</v>
      </c>
      <c r="D96" s="11" t="s">
        <v>15</v>
      </c>
      <c r="E96" s="11">
        <v>22.0</v>
      </c>
      <c r="F96" s="11">
        <v>5.0</v>
      </c>
      <c r="G96" s="22">
        <v>45537.0</v>
      </c>
      <c r="H96" s="14">
        <v>110.0</v>
      </c>
      <c r="I96" s="20"/>
      <c r="J96" s="20"/>
      <c r="K96" s="20"/>
      <c r="L96" s="20"/>
      <c r="M96" s="20"/>
      <c r="N96" s="20"/>
    </row>
    <row r="97">
      <c r="A97" s="11">
        <v>1028.0</v>
      </c>
      <c r="B97" s="11" t="s">
        <v>84</v>
      </c>
      <c r="C97" s="11" t="s">
        <v>75</v>
      </c>
      <c r="D97" s="11" t="s">
        <v>12</v>
      </c>
      <c r="E97" s="11">
        <v>27.0</v>
      </c>
      <c r="F97" s="11">
        <v>8.0</v>
      </c>
      <c r="G97" s="22">
        <v>45567.0</v>
      </c>
      <c r="H97" s="14">
        <v>216.0</v>
      </c>
      <c r="I97" s="20"/>
      <c r="J97" s="20"/>
      <c r="K97" s="20"/>
      <c r="L97" s="20"/>
      <c r="M97" s="20"/>
      <c r="N97" s="20"/>
    </row>
    <row r="98">
      <c r="A98" s="11">
        <v>1029.0</v>
      </c>
      <c r="B98" s="11" t="s">
        <v>44</v>
      </c>
      <c r="C98" s="11" t="s">
        <v>34</v>
      </c>
      <c r="D98" s="11" t="s">
        <v>29</v>
      </c>
      <c r="E98" s="11">
        <v>13.0</v>
      </c>
      <c r="F98" s="11">
        <v>50.0</v>
      </c>
      <c r="G98" s="22">
        <v>45628.0</v>
      </c>
      <c r="H98" s="14">
        <v>650.0</v>
      </c>
      <c r="I98" s="20"/>
      <c r="J98" s="20"/>
      <c r="K98" s="20"/>
      <c r="L98" s="20"/>
      <c r="M98" s="20"/>
      <c r="N98" s="20"/>
    </row>
    <row r="99">
      <c r="A99" s="11">
        <v>1030.0</v>
      </c>
      <c r="B99" s="11" t="s">
        <v>64</v>
      </c>
      <c r="C99" s="11" t="s">
        <v>54</v>
      </c>
      <c r="D99" s="11" t="s">
        <v>20</v>
      </c>
      <c r="E99" s="11">
        <v>32.0</v>
      </c>
      <c r="F99" s="11">
        <v>10.0</v>
      </c>
      <c r="G99" s="11" t="s">
        <v>65</v>
      </c>
      <c r="H99" s="14">
        <v>320.0</v>
      </c>
      <c r="I99" s="20"/>
      <c r="J99" s="20"/>
      <c r="K99" s="20"/>
      <c r="L99" s="20"/>
      <c r="M99" s="20"/>
      <c r="N99" s="20"/>
    </row>
    <row r="100">
      <c r="A100" s="11">
        <v>1031.0</v>
      </c>
      <c r="B100" s="11" t="s">
        <v>24</v>
      </c>
      <c r="C100" s="11" t="s">
        <v>9</v>
      </c>
      <c r="D100" s="11" t="s">
        <v>10</v>
      </c>
      <c r="E100" s="11">
        <v>10.0</v>
      </c>
      <c r="F100" s="11">
        <v>25.0</v>
      </c>
      <c r="G100" s="11" t="s">
        <v>25</v>
      </c>
      <c r="H100" s="14">
        <v>250.0</v>
      </c>
      <c r="I100" s="20"/>
      <c r="J100" s="20"/>
      <c r="K100" s="20"/>
      <c r="L100" s="20"/>
      <c r="M100" s="20"/>
      <c r="N100" s="20"/>
    </row>
    <row r="101">
      <c r="A101" s="11">
        <v>1032.0</v>
      </c>
      <c r="B101" s="11" t="s">
        <v>85</v>
      </c>
      <c r="C101" s="11" t="s">
        <v>75</v>
      </c>
      <c r="D101" s="11" t="s">
        <v>15</v>
      </c>
      <c r="E101" s="11">
        <v>18.0</v>
      </c>
      <c r="F101" s="11">
        <v>5.0</v>
      </c>
      <c r="G101" s="11" t="s">
        <v>86</v>
      </c>
      <c r="H101" s="14">
        <v>90.0</v>
      </c>
      <c r="I101" s="20"/>
      <c r="J101" s="20"/>
      <c r="K101" s="20"/>
      <c r="L101" s="20"/>
      <c r="M101" s="20"/>
      <c r="N101" s="20"/>
    </row>
    <row r="102">
      <c r="A102" s="11">
        <v>1033.0</v>
      </c>
      <c r="B102" s="11" t="s">
        <v>45</v>
      </c>
      <c r="C102" s="11" t="s">
        <v>34</v>
      </c>
      <c r="D102" s="11" t="s">
        <v>12</v>
      </c>
      <c r="E102" s="11">
        <v>22.0</v>
      </c>
      <c r="F102" s="11">
        <v>8.0</v>
      </c>
      <c r="G102" s="11" t="s">
        <v>46</v>
      </c>
      <c r="H102" s="14">
        <v>176.0</v>
      </c>
      <c r="I102" s="20"/>
      <c r="J102" s="20"/>
      <c r="K102" s="20"/>
      <c r="L102" s="20"/>
      <c r="M102" s="20"/>
      <c r="N102" s="20"/>
    </row>
    <row r="103">
      <c r="A103" s="11">
        <v>1034.0</v>
      </c>
      <c r="B103" s="11" t="s">
        <v>66</v>
      </c>
      <c r="C103" s="11" t="s">
        <v>54</v>
      </c>
      <c r="D103" s="11" t="s">
        <v>29</v>
      </c>
      <c r="E103" s="11">
        <v>17.0</v>
      </c>
      <c r="F103" s="11">
        <v>50.0</v>
      </c>
      <c r="G103" s="11" t="s">
        <v>67</v>
      </c>
      <c r="H103" s="14">
        <v>850.0</v>
      </c>
      <c r="I103" s="20"/>
      <c r="J103" s="20"/>
      <c r="K103" s="20"/>
      <c r="L103" s="20"/>
      <c r="M103" s="20"/>
      <c r="N103" s="20"/>
    </row>
    <row r="104">
      <c r="A104" s="11">
        <v>1035.0</v>
      </c>
      <c r="B104" s="11" t="s">
        <v>26</v>
      </c>
      <c r="C104" s="11" t="s">
        <v>9</v>
      </c>
      <c r="D104" s="11" t="s">
        <v>20</v>
      </c>
      <c r="E104" s="11">
        <v>19.0</v>
      </c>
      <c r="F104" s="11">
        <v>10.0</v>
      </c>
      <c r="G104" s="11" t="s">
        <v>27</v>
      </c>
      <c r="H104" s="14">
        <v>190.0</v>
      </c>
      <c r="I104" s="20"/>
      <c r="J104" s="20"/>
      <c r="K104" s="20"/>
      <c r="L104" s="20"/>
      <c r="M104" s="20"/>
      <c r="N104" s="20"/>
    </row>
    <row r="105">
      <c r="A105" s="11">
        <v>1036.0</v>
      </c>
      <c r="B105" s="11" t="s">
        <v>87</v>
      </c>
      <c r="C105" s="11" t="s">
        <v>75</v>
      </c>
      <c r="D105" s="11" t="s">
        <v>10</v>
      </c>
      <c r="E105" s="11">
        <v>15.0</v>
      </c>
      <c r="F105" s="11">
        <v>25.0</v>
      </c>
      <c r="G105" s="11" t="s">
        <v>88</v>
      </c>
      <c r="H105" s="14">
        <v>375.0</v>
      </c>
      <c r="I105" s="20"/>
      <c r="J105" s="20"/>
      <c r="K105" s="20"/>
      <c r="L105" s="20"/>
      <c r="M105" s="20"/>
      <c r="N105" s="20"/>
    </row>
    <row r="106">
      <c r="A106" s="11">
        <v>1037.0</v>
      </c>
      <c r="B106" s="11" t="s">
        <v>47</v>
      </c>
      <c r="C106" s="11" t="s">
        <v>34</v>
      </c>
      <c r="D106" s="11" t="s">
        <v>15</v>
      </c>
      <c r="E106" s="11">
        <v>28.0</v>
      </c>
      <c r="F106" s="11">
        <v>5.0</v>
      </c>
      <c r="G106" s="11" t="s">
        <v>48</v>
      </c>
      <c r="H106" s="14">
        <v>140.0</v>
      </c>
      <c r="I106" s="20"/>
      <c r="J106" s="20"/>
      <c r="K106" s="20"/>
      <c r="L106" s="20"/>
      <c r="M106" s="20"/>
      <c r="N106" s="20"/>
    </row>
    <row r="107">
      <c r="A107" s="11">
        <v>1038.0</v>
      </c>
      <c r="B107" s="11" t="s">
        <v>68</v>
      </c>
      <c r="C107" s="11" t="s">
        <v>54</v>
      </c>
      <c r="D107" s="11" t="s">
        <v>12</v>
      </c>
      <c r="E107" s="11">
        <v>24.0</v>
      </c>
      <c r="F107" s="11">
        <v>8.0</v>
      </c>
      <c r="G107" s="11" t="s">
        <v>69</v>
      </c>
      <c r="H107" s="14">
        <v>192.0</v>
      </c>
      <c r="I107" s="20"/>
      <c r="J107" s="20"/>
      <c r="K107" s="20"/>
      <c r="L107" s="20"/>
      <c r="M107" s="20"/>
      <c r="N107" s="20"/>
    </row>
    <row r="108">
      <c r="A108" s="11">
        <v>1039.0</v>
      </c>
      <c r="B108" s="11" t="s">
        <v>28</v>
      </c>
      <c r="C108" s="11" t="s">
        <v>9</v>
      </c>
      <c r="D108" s="11" t="s">
        <v>29</v>
      </c>
      <c r="E108" s="11">
        <v>16.0</v>
      </c>
      <c r="F108" s="11">
        <v>50.0</v>
      </c>
      <c r="G108" s="11" t="s">
        <v>30</v>
      </c>
      <c r="H108" s="14">
        <v>800.0</v>
      </c>
      <c r="I108" s="20"/>
      <c r="J108" s="20"/>
      <c r="K108" s="20"/>
      <c r="L108" s="20"/>
      <c r="M108" s="20"/>
      <c r="N108" s="20"/>
    </row>
    <row r="109">
      <c r="A109" s="11">
        <v>1040.0</v>
      </c>
      <c r="B109" s="11" t="s">
        <v>89</v>
      </c>
      <c r="C109" s="11" t="s">
        <v>75</v>
      </c>
      <c r="D109" s="11" t="s">
        <v>20</v>
      </c>
      <c r="E109" s="11">
        <v>27.0</v>
      </c>
      <c r="F109" s="11">
        <v>10.0</v>
      </c>
      <c r="G109" s="11" t="s">
        <v>90</v>
      </c>
      <c r="H109" s="14">
        <v>270.0</v>
      </c>
      <c r="I109" s="20"/>
      <c r="J109" s="20"/>
      <c r="K109" s="20"/>
      <c r="L109" s="20"/>
      <c r="M109" s="20"/>
      <c r="N109" s="20"/>
    </row>
    <row r="110">
      <c r="A110" s="11">
        <v>1041.0</v>
      </c>
      <c r="B110" s="11" t="s">
        <v>49</v>
      </c>
      <c r="C110" s="11" t="s">
        <v>34</v>
      </c>
      <c r="D110" s="11" t="s">
        <v>10</v>
      </c>
      <c r="E110" s="11">
        <v>21.0</v>
      </c>
      <c r="F110" s="11">
        <v>25.0</v>
      </c>
      <c r="G110" s="11" t="s">
        <v>50</v>
      </c>
      <c r="H110" s="14">
        <v>525.0</v>
      </c>
      <c r="I110" s="20"/>
      <c r="J110" s="20"/>
      <c r="K110" s="20"/>
      <c r="L110" s="20"/>
      <c r="M110" s="20"/>
      <c r="N110" s="20"/>
    </row>
    <row r="111">
      <c r="A111" s="11">
        <v>1042.0</v>
      </c>
      <c r="B111" s="11" t="s">
        <v>70</v>
      </c>
      <c r="C111" s="11" t="s">
        <v>54</v>
      </c>
      <c r="D111" s="11" t="s">
        <v>15</v>
      </c>
      <c r="E111" s="11">
        <v>30.0</v>
      </c>
      <c r="F111" s="11">
        <v>5.0</v>
      </c>
      <c r="G111" s="11" t="s">
        <v>71</v>
      </c>
      <c r="H111" s="14">
        <v>150.0</v>
      </c>
      <c r="I111" s="20"/>
      <c r="J111" s="20"/>
      <c r="K111" s="20"/>
      <c r="L111" s="20"/>
      <c r="M111" s="20"/>
      <c r="N111" s="20"/>
    </row>
    <row r="112">
      <c r="A112" s="11">
        <v>1043.0</v>
      </c>
      <c r="B112" s="11" t="s">
        <v>31</v>
      </c>
      <c r="C112" s="11" t="s">
        <v>9</v>
      </c>
      <c r="D112" s="11" t="s">
        <v>12</v>
      </c>
      <c r="E112" s="11">
        <v>26.0</v>
      </c>
      <c r="F112" s="11">
        <v>8.0</v>
      </c>
      <c r="G112" s="22">
        <v>45294.0</v>
      </c>
      <c r="H112" s="14">
        <v>208.0</v>
      </c>
      <c r="I112" s="20"/>
      <c r="J112" s="20"/>
      <c r="K112" s="20"/>
      <c r="L112" s="20"/>
      <c r="M112" s="20"/>
      <c r="N112" s="20"/>
    </row>
    <row r="113">
      <c r="A113" s="11">
        <v>1044.0</v>
      </c>
      <c r="B113" s="11" t="s">
        <v>91</v>
      </c>
      <c r="C113" s="11" t="s">
        <v>75</v>
      </c>
      <c r="D113" s="11" t="s">
        <v>29</v>
      </c>
      <c r="E113" s="11">
        <v>14.0</v>
      </c>
      <c r="F113" s="11">
        <v>50.0</v>
      </c>
      <c r="G113" s="22">
        <v>45325.0</v>
      </c>
      <c r="H113" s="14">
        <v>700.0</v>
      </c>
      <c r="I113" s="20"/>
      <c r="J113" s="20"/>
      <c r="K113" s="20"/>
      <c r="L113" s="20"/>
      <c r="M113" s="20"/>
      <c r="N113" s="20"/>
    </row>
    <row r="114">
      <c r="A114" s="11">
        <v>1045.0</v>
      </c>
      <c r="B114" s="11" t="s">
        <v>51</v>
      </c>
      <c r="C114" s="11" t="s">
        <v>34</v>
      </c>
      <c r="D114" s="11" t="s">
        <v>20</v>
      </c>
      <c r="E114" s="11">
        <v>20.0</v>
      </c>
      <c r="F114" s="11">
        <v>10.0</v>
      </c>
      <c r="G114" s="22">
        <v>45354.0</v>
      </c>
      <c r="H114" s="14">
        <v>200.0</v>
      </c>
      <c r="I114" s="20"/>
      <c r="J114" s="20"/>
      <c r="K114" s="20"/>
      <c r="L114" s="20"/>
      <c r="M114" s="20"/>
      <c r="N114" s="20"/>
    </row>
    <row r="115">
      <c r="A115" s="11">
        <v>1046.0</v>
      </c>
      <c r="B115" s="11" t="s">
        <v>72</v>
      </c>
      <c r="C115" s="11" t="s">
        <v>54</v>
      </c>
      <c r="D115" s="11" t="s">
        <v>10</v>
      </c>
      <c r="E115" s="11">
        <v>17.0</v>
      </c>
      <c r="F115" s="11">
        <v>25.0</v>
      </c>
      <c r="G115" s="22">
        <v>45385.0</v>
      </c>
      <c r="H115" s="14">
        <v>425.0</v>
      </c>
      <c r="I115" s="20"/>
      <c r="J115" s="20"/>
      <c r="K115" s="20"/>
      <c r="L115" s="20"/>
      <c r="M115" s="20"/>
      <c r="N115" s="20"/>
    </row>
    <row r="116">
      <c r="A116" s="11">
        <v>1047.0</v>
      </c>
      <c r="B116" s="11" t="s">
        <v>32</v>
      </c>
      <c r="C116" s="11" t="s">
        <v>9</v>
      </c>
      <c r="D116" s="11" t="s">
        <v>15</v>
      </c>
      <c r="E116" s="11">
        <v>19.0</v>
      </c>
      <c r="F116" s="11">
        <v>5.0</v>
      </c>
      <c r="G116" s="21">
        <v>45415.0</v>
      </c>
      <c r="H116" s="14">
        <v>95.0</v>
      </c>
      <c r="I116" s="20"/>
      <c r="J116" s="20"/>
      <c r="K116" s="20"/>
      <c r="L116" s="20"/>
      <c r="M116" s="20"/>
      <c r="N116" s="20"/>
    </row>
    <row r="117">
      <c r="A117" s="11">
        <v>1048.0</v>
      </c>
      <c r="B117" s="11" t="s">
        <v>92</v>
      </c>
      <c r="C117" s="11" t="s">
        <v>75</v>
      </c>
      <c r="D117" s="11" t="s">
        <v>12</v>
      </c>
      <c r="E117" s="11">
        <v>32.0</v>
      </c>
      <c r="F117" s="11">
        <v>8.0</v>
      </c>
      <c r="G117" s="22">
        <v>45446.0</v>
      </c>
      <c r="H117" s="14">
        <v>256.0</v>
      </c>
      <c r="I117" s="20"/>
      <c r="J117" s="20"/>
      <c r="K117" s="20"/>
      <c r="L117" s="20"/>
      <c r="M117" s="20"/>
      <c r="N117" s="20"/>
    </row>
    <row r="118">
      <c r="A118" s="11">
        <v>1049.0</v>
      </c>
      <c r="B118" s="11" t="s">
        <v>52</v>
      </c>
      <c r="C118" s="11" t="s">
        <v>34</v>
      </c>
      <c r="D118" s="11" t="s">
        <v>29</v>
      </c>
      <c r="E118" s="11">
        <v>12.0</v>
      </c>
      <c r="F118" s="11">
        <v>50.0</v>
      </c>
      <c r="G118" s="22">
        <v>45476.0</v>
      </c>
      <c r="H118" s="14">
        <v>600.0</v>
      </c>
      <c r="I118" s="20"/>
      <c r="J118" s="20"/>
      <c r="K118" s="20"/>
      <c r="L118" s="20"/>
      <c r="M118" s="20"/>
      <c r="N118" s="20"/>
    </row>
    <row r="119">
      <c r="A119" s="11">
        <v>1050.0</v>
      </c>
      <c r="B119" s="11" t="s">
        <v>73</v>
      </c>
      <c r="C119" s="11" t="s">
        <v>54</v>
      </c>
      <c r="D119" s="11" t="s">
        <v>20</v>
      </c>
      <c r="E119" s="11">
        <v>25.0</v>
      </c>
      <c r="F119" s="11">
        <v>10.0</v>
      </c>
      <c r="G119" s="22">
        <v>45507.0</v>
      </c>
      <c r="H119" s="14">
        <v>250.0</v>
      </c>
      <c r="I119" s="20"/>
      <c r="J119" s="20"/>
      <c r="K119" s="20"/>
      <c r="L119" s="20"/>
      <c r="M119" s="20"/>
      <c r="N119" s="20"/>
    </row>
    <row r="120">
      <c r="A120" s="14"/>
      <c r="B120" s="14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>
      <c r="A121" s="25" t="s">
        <v>109</v>
      </c>
      <c r="I121" s="4"/>
      <c r="J121" s="4"/>
      <c r="K121" s="4"/>
      <c r="L121" s="4"/>
      <c r="M121" s="4"/>
      <c r="N121" s="4"/>
    </row>
    <row r="122">
      <c r="A122" s="14" t="s">
        <v>110</v>
      </c>
      <c r="B122" s="14">
        <f>sum(H70:H119)</f>
        <v>16543</v>
      </c>
      <c r="C122" s="20"/>
      <c r="D122" s="20"/>
      <c r="E122" s="20"/>
      <c r="F122" s="20"/>
      <c r="G122" s="20"/>
      <c r="H122" s="14"/>
      <c r="I122" s="20"/>
      <c r="J122" s="20"/>
      <c r="K122" s="20"/>
      <c r="L122" s="20"/>
      <c r="M122" s="20"/>
      <c r="N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</row>
    <row r="124">
      <c r="A124" s="25" t="s">
        <v>111</v>
      </c>
      <c r="I124" s="4"/>
      <c r="J124" s="4"/>
      <c r="K124" s="4"/>
      <c r="L124" s="4"/>
      <c r="M124" s="4"/>
      <c r="N124" s="4"/>
    </row>
    <row r="125">
      <c r="A125" s="14" t="s">
        <v>112</v>
      </c>
      <c r="B125" s="14">
        <f>counta(B70:B119)</f>
        <v>50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</row>
    <row r="127">
      <c r="A127" s="25" t="s">
        <v>113</v>
      </c>
      <c r="I127" s="4"/>
      <c r="J127" s="4"/>
      <c r="K127" s="4"/>
      <c r="L127" s="4"/>
      <c r="M127" s="4"/>
      <c r="N127" s="4"/>
    </row>
    <row r="128">
      <c r="A128" s="14" t="s">
        <v>112</v>
      </c>
      <c r="B128" s="14">
        <f>sum(H118+H114+H70+H74+H78+H82+H86+H90+H94+H98+H102+H106+H110)</f>
        <v>4941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</row>
  </sheetData>
  <autoFilter ref="$A$69:$H$122">
    <sortState ref="A69:H122">
      <sortCondition ref="A69:A122"/>
    </sortState>
  </autoFilter>
  <mergeCells count="6">
    <mergeCell ref="A54:G54"/>
    <mergeCell ref="A61:H62"/>
    <mergeCell ref="A124:H124"/>
    <mergeCell ref="A127:H127"/>
    <mergeCell ref="I9:N17"/>
    <mergeCell ref="A121:H121"/>
  </mergeCells>
  <hyperlinks>
    <hyperlink r:id="rId1" ref="A5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