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 Analytics\Assignment-7 16-01-2025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3" i="1" l="1"/>
  <c r="F80" i="1"/>
  <c r="F81" i="1"/>
  <c r="F82" i="1"/>
  <c r="F79" i="1"/>
  <c r="D82" i="1"/>
  <c r="D81" i="1"/>
  <c r="D80" i="1"/>
  <c r="D79" i="1"/>
  <c r="B75" i="1"/>
  <c r="B73" i="1"/>
  <c r="B74" i="1"/>
  <c r="B72" i="1"/>
  <c r="B54" i="1"/>
  <c r="B51" i="1"/>
  <c r="B50" i="1"/>
  <c r="B48" i="1"/>
  <c r="B47" i="1"/>
  <c r="B44" i="1"/>
  <c r="F38" i="1"/>
  <c r="F39" i="1"/>
  <c r="F40" i="1"/>
  <c r="F41" i="1"/>
  <c r="F42" i="1"/>
  <c r="F37" i="1"/>
  <c r="B36" i="1"/>
  <c r="C39" i="1"/>
  <c r="C40" i="1"/>
  <c r="C41" i="1"/>
  <c r="C42" i="1"/>
  <c r="C38" i="1"/>
  <c r="B25" i="1"/>
</calcChain>
</file>

<file path=xl/sharedStrings.xml><?xml version="1.0" encoding="utf-8"?>
<sst xmlns="http://schemas.openxmlformats.org/spreadsheetml/2006/main" count="75" uniqueCount="69">
  <si>
    <t>Q1</t>
  </si>
  <si>
    <t>Null hypothesis describe no effect or no difference exists between groups or variables, it means it doesn’t have any significance relationship effect or differ</t>
  </si>
  <si>
    <t>Q2</t>
  </si>
  <si>
    <t>represent the threshold probability for type 1 error common value 0.05%</t>
  </si>
  <si>
    <t>Q3</t>
  </si>
  <si>
    <t>Type 1 error reject the null hypotheiss when its actually true</t>
  </si>
  <si>
    <t>Type 1 error accept the null hypotheiss when its actually fasle</t>
  </si>
  <si>
    <t>Q4</t>
  </si>
  <si>
    <t>One tailed test - it seffects is greater than or less than a value using half the distribution tail</t>
  </si>
  <si>
    <t>Two tailed test- non directional test detect difference in either direction splitting significance level across the both tails</t>
  </si>
  <si>
    <t>Q5</t>
  </si>
  <si>
    <t>s= 3</t>
  </si>
  <si>
    <t>n=9</t>
  </si>
  <si>
    <t>alpha = 0.05</t>
  </si>
  <si>
    <t>Step-1</t>
  </si>
  <si>
    <t>null hypthesis= required 10 minutes to resvolve coustomer complaint</t>
  </si>
  <si>
    <t>alternate= not equal to 10 min</t>
  </si>
  <si>
    <t>Step-2</t>
  </si>
  <si>
    <t>t test= (xbar-mew)/sample std/sqrt(n)</t>
  </si>
  <si>
    <t xml:space="preserve">xbar- 12  </t>
  </si>
  <si>
    <t>mew= 10</t>
  </si>
  <si>
    <t>critical value</t>
  </si>
  <si>
    <t>df= n-1</t>
  </si>
  <si>
    <t>t critical= 2.306</t>
  </si>
  <si>
    <t>tcal&lt; t critical  reject null hypothesis and accept alternate hypothesis</t>
  </si>
  <si>
    <t>step 3</t>
  </si>
  <si>
    <t>Q6</t>
  </si>
  <si>
    <t>when the population std dev is known</t>
  </si>
  <si>
    <t>Q7</t>
  </si>
  <si>
    <t>Step 1</t>
  </si>
  <si>
    <t>null hypothesis= no improvement</t>
  </si>
  <si>
    <t>alternate= improvement occurred</t>
  </si>
  <si>
    <t>Step 2</t>
  </si>
  <si>
    <t>employee</t>
  </si>
  <si>
    <t>Before</t>
  </si>
  <si>
    <t>After</t>
  </si>
  <si>
    <t>0.005 alpha</t>
  </si>
  <si>
    <t>p&lt; alpha reject null accept alternate</t>
  </si>
  <si>
    <t>improvemement occurred</t>
  </si>
  <si>
    <t>manual</t>
  </si>
  <si>
    <t>mean of difference</t>
  </si>
  <si>
    <t>differnce</t>
  </si>
  <si>
    <t>standard deviation</t>
  </si>
  <si>
    <t>n-1</t>
  </si>
  <si>
    <t>t critical= 2.015</t>
  </si>
  <si>
    <t>tcalculated=4.11</t>
  </si>
  <si>
    <t>4.11&gt;2.05</t>
  </si>
  <si>
    <t>rejct null hypothesis accept alternate</t>
  </si>
  <si>
    <t>Q8</t>
  </si>
  <si>
    <t>Frame Hypothesis</t>
  </si>
  <si>
    <t>Null= no relation between productA &amp; product B are independent not related to each othe</t>
  </si>
  <si>
    <t>alternate=  Relation exist</t>
  </si>
  <si>
    <t>expected frequencies</t>
  </si>
  <si>
    <t>(row Total X Column total)/ grand total</t>
  </si>
  <si>
    <t>Gender</t>
  </si>
  <si>
    <t>Male</t>
  </si>
  <si>
    <t>Female</t>
  </si>
  <si>
    <t>PA</t>
  </si>
  <si>
    <t>PB</t>
  </si>
  <si>
    <t>MPA</t>
  </si>
  <si>
    <t>MPB</t>
  </si>
  <si>
    <t>FPA</t>
  </si>
  <si>
    <t>FPB</t>
  </si>
  <si>
    <t>Step-3</t>
  </si>
  <si>
    <t>(o-e)^2/e</t>
  </si>
  <si>
    <t>e</t>
  </si>
  <si>
    <t>o</t>
  </si>
  <si>
    <t>o-e</t>
  </si>
  <si>
    <t>o-e^2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</si>
</sst>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3"/>
  <sheetViews>
    <sheetView tabSelected="1" topLeftCell="A71" workbookViewId="0">
      <selection activeCell="F79" sqref="F79:F82"/>
    </sheetView>
  </sheetViews>
  <sheetFormatPr defaultRowHeight="14.5" x14ac:dyDescent="0.35"/>
  <cols>
    <col min="2" max="2" width="72.08984375" customWidth="1"/>
  </cols>
  <sheetData>
    <row r="2" spans="1:2" ht="36" customHeight="1" x14ac:dyDescent="0.35">
      <c r="A2" s="3" t="s">
        <v>0</v>
      </c>
      <c r="B2" s="1" t="s">
        <v>1</v>
      </c>
    </row>
    <row r="3" spans="1:2" x14ac:dyDescent="0.35">
      <c r="A3" s="3"/>
    </row>
    <row r="4" spans="1:2" ht="36" customHeight="1" x14ac:dyDescent="0.35">
      <c r="A4" s="3" t="s">
        <v>2</v>
      </c>
      <c r="B4" s="1" t="s">
        <v>3</v>
      </c>
    </row>
    <row r="6" spans="1:2" x14ac:dyDescent="0.35">
      <c r="A6" s="2" t="s">
        <v>4</v>
      </c>
      <c r="B6" t="s">
        <v>5</v>
      </c>
    </row>
    <row r="7" spans="1:2" x14ac:dyDescent="0.35">
      <c r="A7" s="2"/>
      <c r="B7" t="s">
        <v>6</v>
      </c>
    </row>
    <row r="9" spans="1:2" ht="36" customHeight="1" x14ac:dyDescent="0.35">
      <c r="A9" s="2" t="s">
        <v>7</v>
      </c>
      <c r="B9" s="1" t="s">
        <v>8</v>
      </c>
    </row>
    <row r="10" spans="1:2" ht="36" customHeight="1" x14ac:dyDescent="0.35">
      <c r="A10" s="2"/>
      <c r="B10" s="1" t="s">
        <v>9</v>
      </c>
    </row>
    <row r="12" spans="1:2" x14ac:dyDescent="0.35">
      <c r="A12" t="s">
        <v>10</v>
      </c>
      <c r="B12" t="s">
        <v>19</v>
      </c>
    </row>
    <row r="13" spans="1:2" x14ac:dyDescent="0.35">
      <c r="B13" t="s">
        <v>11</v>
      </c>
    </row>
    <row r="14" spans="1:2" x14ac:dyDescent="0.35">
      <c r="B14" t="s">
        <v>12</v>
      </c>
    </row>
    <row r="15" spans="1:2" x14ac:dyDescent="0.35">
      <c r="B15" t="s">
        <v>13</v>
      </c>
    </row>
    <row r="16" spans="1:2" x14ac:dyDescent="0.35">
      <c r="B16" t="s">
        <v>20</v>
      </c>
    </row>
    <row r="17" spans="1:2" x14ac:dyDescent="0.35">
      <c r="A17" t="s">
        <v>14</v>
      </c>
      <c r="B17" t="s">
        <v>15</v>
      </c>
    </row>
    <row r="18" spans="1:2" x14ac:dyDescent="0.35">
      <c r="B18" t="s">
        <v>16</v>
      </c>
    </row>
    <row r="20" spans="1:2" x14ac:dyDescent="0.35">
      <c r="A20" t="s">
        <v>17</v>
      </c>
      <c r="B20" t="s">
        <v>18</v>
      </c>
    </row>
    <row r="21" spans="1:2" x14ac:dyDescent="0.35">
      <c r="B21" s="4">
        <v>2</v>
      </c>
    </row>
    <row r="23" spans="1:2" x14ac:dyDescent="0.35">
      <c r="A23" t="s">
        <v>25</v>
      </c>
      <c r="B23" t="s">
        <v>21</v>
      </c>
    </row>
    <row r="24" spans="1:2" x14ac:dyDescent="0.35">
      <c r="B24" t="s">
        <v>22</v>
      </c>
    </row>
    <row r="25" spans="1:2" x14ac:dyDescent="0.35">
      <c r="B25" s="4">
        <f>9-1</f>
        <v>8</v>
      </c>
    </row>
    <row r="26" spans="1:2" x14ac:dyDescent="0.35">
      <c r="B26" t="s">
        <v>23</v>
      </c>
    </row>
    <row r="28" spans="1:2" x14ac:dyDescent="0.35">
      <c r="B28" t="s">
        <v>24</v>
      </c>
    </row>
    <row r="30" spans="1:2" x14ac:dyDescent="0.35">
      <c r="A30" t="s">
        <v>26</v>
      </c>
      <c r="B30" t="s">
        <v>27</v>
      </c>
    </row>
    <row r="32" spans="1:2" x14ac:dyDescent="0.35">
      <c r="A32" t="s">
        <v>28</v>
      </c>
    </row>
    <row r="33" spans="1:6" x14ac:dyDescent="0.35">
      <c r="A33" t="s">
        <v>29</v>
      </c>
      <c r="B33" t="s">
        <v>30</v>
      </c>
    </row>
    <row r="34" spans="1:6" x14ac:dyDescent="0.35">
      <c r="B34" t="s">
        <v>31</v>
      </c>
    </row>
    <row r="36" spans="1:6" x14ac:dyDescent="0.35">
      <c r="A36" t="s">
        <v>32</v>
      </c>
      <c r="B36" s="4">
        <f>_xlfn.T.TEST(D37:D42,E37:E42,1,1)</f>
        <v>4.6413525173689676E-3</v>
      </c>
      <c r="C36" t="s">
        <v>33</v>
      </c>
      <c r="D36" t="s">
        <v>34</v>
      </c>
      <c r="E36" t="s">
        <v>35</v>
      </c>
      <c r="F36" t="s">
        <v>41</v>
      </c>
    </row>
    <row r="37" spans="1:6" x14ac:dyDescent="0.35">
      <c r="B37" s="4" t="s">
        <v>36</v>
      </c>
      <c r="C37">
        <v>1</v>
      </c>
      <c r="D37">
        <v>50</v>
      </c>
      <c r="E37">
        <v>55</v>
      </c>
      <c r="F37">
        <f>E37-$D37</f>
        <v>5</v>
      </c>
    </row>
    <row r="38" spans="1:6" x14ac:dyDescent="0.35">
      <c r="B38" t="s">
        <v>37</v>
      </c>
      <c r="C38">
        <f>C37+1</f>
        <v>2</v>
      </c>
      <c r="D38">
        <v>60</v>
      </c>
      <c r="E38">
        <v>65</v>
      </c>
      <c r="F38">
        <f t="shared" ref="F38:F44" si="0">E38-$D38</f>
        <v>5</v>
      </c>
    </row>
    <row r="39" spans="1:6" x14ac:dyDescent="0.35">
      <c r="B39" t="s">
        <v>38</v>
      </c>
      <c r="C39">
        <f t="shared" ref="C39:C42" si="1">C38+1</f>
        <v>3</v>
      </c>
      <c r="D39">
        <v>58</v>
      </c>
      <c r="E39">
        <v>59</v>
      </c>
      <c r="F39">
        <f t="shared" si="0"/>
        <v>1</v>
      </c>
    </row>
    <row r="40" spans="1:6" x14ac:dyDescent="0.35">
      <c r="C40">
        <f t="shared" si="1"/>
        <v>4</v>
      </c>
      <c r="D40">
        <v>55</v>
      </c>
      <c r="E40">
        <v>58</v>
      </c>
      <c r="F40">
        <f t="shared" si="0"/>
        <v>3</v>
      </c>
    </row>
    <row r="41" spans="1:6" x14ac:dyDescent="0.35">
      <c r="C41">
        <f t="shared" si="1"/>
        <v>5</v>
      </c>
      <c r="D41">
        <v>62</v>
      </c>
      <c r="E41">
        <v>63</v>
      </c>
      <c r="F41">
        <f t="shared" si="0"/>
        <v>1</v>
      </c>
    </row>
    <row r="42" spans="1:6" x14ac:dyDescent="0.35">
      <c r="B42" t="s">
        <v>39</v>
      </c>
      <c r="C42">
        <f t="shared" si="1"/>
        <v>6</v>
      </c>
      <c r="D42">
        <v>56</v>
      </c>
      <c r="E42">
        <v>59</v>
      </c>
      <c r="F42">
        <f t="shared" si="0"/>
        <v>3</v>
      </c>
    </row>
    <row r="43" spans="1:6" x14ac:dyDescent="0.35">
      <c r="B43" t="s">
        <v>40</v>
      </c>
    </row>
    <row r="44" spans="1:6" x14ac:dyDescent="0.35">
      <c r="B44" s="4">
        <f>AVERAGE(F37:F42)</f>
        <v>3</v>
      </c>
    </row>
    <row r="46" spans="1:6" x14ac:dyDescent="0.35">
      <c r="B46" t="s">
        <v>42</v>
      </c>
    </row>
    <row r="47" spans="1:6" x14ac:dyDescent="0.35">
      <c r="B47" s="4">
        <f>_xlfn.STDEV.S(F37:F42)</f>
        <v>1.7888543819998317</v>
      </c>
    </row>
    <row r="48" spans="1:6" x14ac:dyDescent="0.35">
      <c r="B48" s="4">
        <f>_xlfn.VAR.S(F37:F42)</f>
        <v>3.2</v>
      </c>
    </row>
    <row r="50" spans="1:2" x14ac:dyDescent="0.35">
      <c r="B50" s="4">
        <f>1.788/SQRT(6)</f>
        <v>0.72994794334938717</v>
      </c>
    </row>
    <row r="51" spans="1:2" x14ac:dyDescent="0.35">
      <c r="B51" s="4">
        <f>B44/B50</f>
        <v>4.1098821187637213</v>
      </c>
    </row>
    <row r="53" spans="1:2" x14ac:dyDescent="0.35">
      <c r="B53" t="s">
        <v>43</v>
      </c>
    </row>
    <row r="54" spans="1:2" x14ac:dyDescent="0.35">
      <c r="B54" s="4">
        <f>6-1</f>
        <v>5</v>
      </c>
    </row>
    <row r="56" spans="1:2" x14ac:dyDescent="0.35">
      <c r="B56" t="s">
        <v>44</v>
      </c>
    </row>
    <row r="57" spans="1:2" x14ac:dyDescent="0.35">
      <c r="B57" t="s">
        <v>45</v>
      </c>
    </row>
    <row r="58" spans="1:2" x14ac:dyDescent="0.35">
      <c r="B58" t="s">
        <v>46</v>
      </c>
    </row>
    <row r="59" spans="1:2" x14ac:dyDescent="0.35">
      <c r="B59" t="s">
        <v>47</v>
      </c>
    </row>
    <row r="61" spans="1:2" x14ac:dyDescent="0.35">
      <c r="A61" t="s">
        <v>48</v>
      </c>
    </row>
    <row r="62" spans="1:2" x14ac:dyDescent="0.35">
      <c r="A62" t="s">
        <v>14</v>
      </c>
      <c r="B62" t="s">
        <v>49</v>
      </c>
    </row>
    <row r="63" spans="1:2" x14ac:dyDescent="0.35">
      <c r="B63" t="s">
        <v>50</v>
      </c>
    </row>
    <row r="64" spans="1:2" x14ac:dyDescent="0.35">
      <c r="B64" t="s">
        <v>51</v>
      </c>
    </row>
    <row r="66" spans="1:6" x14ac:dyDescent="0.35">
      <c r="A66" t="s">
        <v>17</v>
      </c>
      <c r="B66" t="s">
        <v>52</v>
      </c>
    </row>
    <row r="67" spans="1:6" x14ac:dyDescent="0.35">
      <c r="B67" t="s">
        <v>53</v>
      </c>
    </row>
    <row r="69" spans="1:6" x14ac:dyDescent="0.35">
      <c r="B69" t="s">
        <v>54</v>
      </c>
      <c r="C69" t="s">
        <v>57</v>
      </c>
      <c r="D69" t="s">
        <v>58</v>
      </c>
    </row>
    <row r="70" spans="1:6" x14ac:dyDescent="0.35">
      <c r="B70" t="s">
        <v>55</v>
      </c>
      <c r="C70" s="4">
        <v>20</v>
      </c>
      <c r="D70" s="4">
        <v>30</v>
      </c>
    </row>
    <row r="71" spans="1:6" x14ac:dyDescent="0.35">
      <c r="B71" t="s">
        <v>56</v>
      </c>
      <c r="C71" s="4">
        <v>20</v>
      </c>
      <c r="D71" s="4">
        <v>30</v>
      </c>
    </row>
    <row r="72" spans="1:6" x14ac:dyDescent="0.35">
      <c r="A72" t="s">
        <v>59</v>
      </c>
      <c r="B72" s="4">
        <f>40*50/100</f>
        <v>20</v>
      </c>
    </row>
    <row r="73" spans="1:6" x14ac:dyDescent="0.35">
      <c r="A73" t="s">
        <v>60</v>
      </c>
      <c r="B73" s="4">
        <f>60*50/100</f>
        <v>30</v>
      </c>
    </row>
    <row r="74" spans="1:6" x14ac:dyDescent="0.35">
      <c r="A74" t="s">
        <v>61</v>
      </c>
      <c r="B74" s="4">
        <f>40*50/100</f>
        <v>20</v>
      </c>
    </row>
    <row r="75" spans="1:6" x14ac:dyDescent="0.35">
      <c r="A75" t="s">
        <v>62</v>
      </c>
      <c r="B75" s="4">
        <f>60*50/100</f>
        <v>30</v>
      </c>
    </row>
    <row r="77" spans="1:6" x14ac:dyDescent="0.35">
      <c r="A77" t="s">
        <v>63</v>
      </c>
      <c r="B77" t="s">
        <v>64</v>
      </c>
    </row>
    <row r="78" spans="1:6" x14ac:dyDescent="0.35">
      <c r="B78" t="s">
        <v>66</v>
      </c>
      <c r="C78" t="s">
        <v>65</v>
      </c>
      <c r="D78" t="s">
        <v>67</v>
      </c>
      <c r="E78" t="s">
        <v>68</v>
      </c>
    </row>
    <row r="79" spans="1:6" x14ac:dyDescent="0.35">
      <c r="A79" t="s">
        <v>59</v>
      </c>
      <c r="B79">
        <v>30</v>
      </c>
      <c r="C79">
        <v>20</v>
      </c>
      <c r="D79">
        <f>B79-C79</f>
        <v>10</v>
      </c>
      <c r="E79">
        <v>100</v>
      </c>
      <c r="F79">
        <f>E79-$C79</f>
        <v>80</v>
      </c>
    </row>
    <row r="80" spans="1:6" x14ac:dyDescent="0.35">
      <c r="A80" t="s">
        <v>60</v>
      </c>
      <c r="B80">
        <v>20</v>
      </c>
      <c r="C80">
        <v>30</v>
      </c>
      <c r="D80">
        <f>C80-B80</f>
        <v>10</v>
      </c>
      <c r="E80">
        <v>100</v>
      </c>
      <c r="F80">
        <f t="shared" ref="F80:F82" si="2">E80-$C80</f>
        <v>70</v>
      </c>
    </row>
    <row r="81" spans="1:6" x14ac:dyDescent="0.35">
      <c r="A81" t="s">
        <v>61</v>
      </c>
      <c r="B81">
        <v>10</v>
      </c>
      <c r="C81">
        <v>20</v>
      </c>
      <c r="D81">
        <f>C81-B81</f>
        <v>10</v>
      </c>
      <c r="E81">
        <v>100</v>
      </c>
      <c r="F81">
        <f t="shared" si="2"/>
        <v>80</v>
      </c>
    </row>
    <row r="82" spans="1:6" x14ac:dyDescent="0.35">
      <c r="A82" t="s">
        <v>62</v>
      </c>
      <c r="B82">
        <v>40</v>
      </c>
      <c r="C82">
        <v>30</v>
      </c>
      <c r="D82">
        <f>B82-C82</f>
        <v>10</v>
      </c>
      <c r="E82">
        <v>100</v>
      </c>
      <c r="F82">
        <f t="shared" si="2"/>
        <v>70</v>
      </c>
    </row>
    <row r="83" spans="1:6" x14ac:dyDescent="0.35">
      <c r="F83">
        <f>SUM(F79:F82)</f>
        <v>300</v>
      </c>
    </row>
  </sheetData>
  <mergeCells count="2">
    <mergeCell ref="A9:A10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2026-01-16T01:53:22Z</dcterms:created>
  <dcterms:modified xsi:type="dcterms:W3CDTF">2026-01-16T14:42:39Z</dcterms:modified>
</cp:coreProperties>
</file>