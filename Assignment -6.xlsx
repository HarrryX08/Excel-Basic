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 Analytics\"/>
    </mc:Choice>
  </mc:AlternateContent>
  <bookViews>
    <workbookView xWindow="0" yWindow="0" windowWidth="14370" windowHeight="39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G28" i="1"/>
  <c r="C30" i="1"/>
  <c r="E29" i="1"/>
  <c r="C29" i="1"/>
  <c r="A31" i="1"/>
  <c r="A23" i="1"/>
  <c r="A24" i="1"/>
  <c r="A14" i="1"/>
  <c r="A10" i="1"/>
  <c r="A6" i="1"/>
  <c r="A4" i="1"/>
</calcChain>
</file>

<file path=xl/sharedStrings.xml><?xml version="1.0" encoding="utf-8"?>
<sst xmlns="http://schemas.openxmlformats.org/spreadsheetml/2006/main" count="32" uniqueCount="32">
  <si>
    <t>Q1</t>
  </si>
  <si>
    <t>a)Even number= 2,4,6</t>
  </si>
  <si>
    <t>b)Greater than 4</t>
  </si>
  <si>
    <t>Q2)</t>
  </si>
  <si>
    <t>Q3)</t>
  </si>
  <si>
    <t>2 RED, 2BLUE</t>
  </si>
  <si>
    <t>Q4)</t>
  </si>
  <si>
    <t>SIMPLE STRATIFIED SAMPLING BECAUSE IT WILL DIVIDE BOTH BOYS AND GIRLS EQUAL</t>
  </si>
  <si>
    <t>Q5)Average height of 1000 student = 160cm</t>
  </si>
  <si>
    <t>100 student height is = 158 cm</t>
  </si>
  <si>
    <t>160-158= 2cm</t>
  </si>
  <si>
    <t>Q6)Population of mean salary= 5000</t>
  </si>
  <si>
    <t>standard deviation= 5000</t>
  </si>
  <si>
    <t>sample size=100</t>
  </si>
  <si>
    <t>SEM</t>
  </si>
  <si>
    <t>Q7)</t>
  </si>
  <si>
    <t>40 = cricket</t>
  </si>
  <si>
    <t>30= footbLL</t>
  </si>
  <si>
    <t>10 BOTH</t>
  </si>
  <si>
    <t>Q8)</t>
  </si>
  <si>
    <t>DECK = 52</t>
  </si>
  <si>
    <t>Ace= 4</t>
  </si>
  <si>
    <t>deck 51</t>
  </si>
  <si>
    <t>ace=3</t>
  </si>
  <si>
    <t>Q9)</t>
  </si>
  <si>
    <t>Probability of 5no defective bulb</t>
  </si>
  <si>
    <t>Probability of non defective bulb</t>
  </si>
  <si>
    <t>Q10)</t>
  </si>
  <si>
    <t>Discrete= Countable value</t>
  </si>
  <si>
    <t>Continous= Random value that doesn’t count</t>
  </si>
  <si>
    <t>if we take 0 to 10</t>
  </si>
  <si>
    <t>you can count 0, 0.1,0.2 so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</si>
</sst>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8"/>
  <sheetViews>
    <sheetView tabSelected="1" topLeftCell="A20" workbookViewId="0">
      <selection activeCell="A39" sqref="A39"/>
    </sheetView>
  </sheetViews>
  <sheetFormatPr defaultRowHeight="15" x14ac:dyDescent="0.25"/>
  <sheetData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>
        <f>3/6</f>
        <v>0.5</v>
      </c>
    </row>
    <row r="5" spans="1:3" x14ac:dyDescent="0.25">
      <c r="A5" t="s">
        <v>2</v>
      </c>
    </row>
    <row r="6" spans="1:3" x14ac:dyDescent="0.25">
      <c r="A6">
        <f>2/6</f>
        <v>0.33333333333333331</v>
      </c>
    </row>
    <row r="9" spans="1:3" x14ac:dyDescent="0.25">
      <c r="A9" t="s">
        <v>3</v>
      </c>
    </row>
    <row r="10" spans="1:3" x14ac:dyDescent="0.25">
      <c r="A10">
        <f>30/50</f>
        <v>0.6</v>
      </c>
    </row>
    <row r="12" spans="1:3" x14ac:dyDescent="0.25">
      <c r="A12" t="s">
        <v>4</v>
      </c>
      <c r="C12" t="s">
        <v>6</v>
      </c>
    </row>
    <row r="13" spans="1:3" x14ac:dyDescent="0.25">
      <c r="A13" t="s">
        <v>5</v>
      </c>
      <c r="C13" t="s">
        <v>7</v>
      </c>
    </row>
    <row r="14" spans="1:3" x14ac:dyDescent="0.25">
      <c r="A14">
        <f>2/4</f>
        <v>0.5</v>
      </c>
    </row>
    <row r="16" spans="1:3" x14ac:dyDescent="0.25">
      <c r="A16" t="s">
        <v>8</v>
      </c>
    </row>
    <row r="17" spans="1:7" x14ac:dyDescent="0.25">
      <c r="A17" t="s">
        <v>9</v>
      </c>
    </row>
    <row r="18" spans="1:7" x14ac:dyDescent="0.25">
      <c r="A18" t="s">
        <v>10</v>
      </c>
    </row>
    <row r="20" spans="1:7" x14ac:dyDescent="0.25">
      <c r="A20" t="s">
        <v>11</v>
      </c>
    </row>
    <row r="21" spans="1:7" x14ac:dyDescent="0.25">
      <c r="A21" t="s">
        <v>12</v>
      </c>
    </row>
    <row r="22" spans="1:7" x14ac:dyDescent="0.25">
      <c r="A22" t="s">
        <v>13</v>
      </c>
    </row>
    <row r="23" spans="1:7" x14ac:dyDescent="0.25">
      <c r="A23" s="1">
        <f>5000/A24</f>
        <v>500</v>
      </c>
      <c r="B23" s="1" t="s">
        <v>14</v>
      </c>
    </row>
    <row r="24" spans="1:7" x14ac:dyDescent="0.25">
      <c r="A24">
        <f>SQRT(100)</f>
        <v>10</v>
      </c>
    </row>
    <row r="26" spans="1:7" x14ac:dyDescent="0.25">
      <c r="A26" t="s">
        <v>15</v>
      </c>
      <c r="C26" t="s">
        <v>19</v>
      </c>
      <c r="G26" t="s">
        <v>24</v>
      </c>
    </row>
    <row r="27" spans="1:7" x14ac:dyDescent="0.25">
      <c r="A27" t="s">
        <v>16</v>
      </c>
      <c r="C27" t="s">
        <v>20</v>
      </c>
      <c r="E27" t="s">
        <v>22</v>
      </c>
      <c r="G27" t="s">
        <v>26</v>
      </c>
    </row>
    <row r="28" spans="1:7" x14ac:dyDescent="0.25">
      <c r="A28" t="s">
        <v>17</v>
      </c>
      <c r="C28" t="s">
        <v>21</v>
      </c>
      <c r="E28" t="s">
        <v>23</v>
      </c>
      <c r="G28">
        <f>1-0.02</f>
        <v>0.98</v>
      </c>
    </row>
    <row r="29" spans="1:7" x14ac:dyDescent="0.25">
      <c r="A29" t="s">
        <v>18</v>
      </c>
      <c r="C29">
        <f>4/52</f>
        <v>7.6923076923076927E-2</v>
      </c>
      <c r="E29">
        <f>3/51</f>
        <v>5.8823529411764705E-2</v>
      </c>
      <c r="G29" t="s">
        <v>25</v>
      </c>
    </row>
    <row r="30" spans="1:7" x14ac:dyDescent="0.25">
      <c r="C30">
        <f>C29*E29</f>
        <v>4.5248868778280547E-3</v>
      </c>
      <c r="G30">
        <f>0.98*0.98*0.98*0.98*0.98</f>
        <v>0.90392079679999982</v>
      </c>
    </row>
    <row r="31" spans="1:7" x14ac:dyDescent="0.25">
      <c r="A31">
        <f>60/100</f>
        <v>0.6</v>
      </c>
    </row>
    <row r="33" spans="1:1" x14ac:dyDescent="0.25">
      <c r="A33" t="s">
        <v>27</v>
      </c>
    </row>
    <row r="34" spans="1:1" x14ac:dyDescent="0.25">
      <c r="A34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2026-01-02T17:21:33Z</dcterms:created>
  <dcterms:modified xsi:type="dcterms:W3CDTF">2026-01-02T17:44:50Z</dcterms:modified>
</cp:coreProperties>
</file>