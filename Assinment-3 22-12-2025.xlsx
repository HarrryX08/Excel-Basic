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Data Analytics\"/>
    </mc:Choice>
  </mc:AlternateContent>
  <bookViews>
    <workbookView xWindow="0" yWindow="0" windowWidth="19200" windowHeight="69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7" i="1" l="1"/>
  <c r="E47" i="1"/>
  <c r="E48" i="1"/>
  <c r="E46" i="1"/>
  <c r="D42" i="1"/>
  <c r="D40" i="1"/>
  <c r="D39" i="1"/>
  <c r="D41" i="1"/>
  <c r="B35" i="1"/>
  <c r="D22" i="1"/>
  <c r="D23" i="1"/>
  <c r="D24" i="1"/>
  <c r="D25" i="1"/>
  <c r="D21" i="1"/>
  <c r="E15" i="1"/>
  <c r="E16" i="1"/>
  <c r="E17" i="1"/>
  <c r="E14" i="1"/>
  <c r="D5" i="1"/>
  <c r="D6" i="1"/>
  <c r="D7" i="1"/>
  <c r="D8" i="1"/>
  <c r="D4" i="1"/>
</calcChain>
</file>

<file path=xl/sharedStrings.xml><?xml version="1.0" encoding="utf-8"?>
<sst xmlns="http://schemas.openxmlformats.org/spreadsheetml/2006/main" count="60" uniqueCount="53">
  <si>
    <t xml:space="preserve">Q1 </t>
  </si>
  <si>
    <t>Student</t>
  </si>
  <si>
    <t>Marks</t>
  </si>
  <si>
    <t>Riya</t>
  </si>
  <si>
    <t>Siya</t>
  </si>
  <si>
    <t>Raju</t>
  </si>
  <si>
    <t>Rahul</t>
  </si>
  <si>
    <t>Ram</t>
  </si>
  <si>
    <t>Q2</t>
  </si>
  <si>
    <t>Employee</t>
  </si>
  <si>
    <t>Sales</t>
  </si>
  <si>
    <t>Attendance</t>
  </si>
  <si>
    <t>Arjun</t>
  </si>
  <si>
    <t>Simran</t>
  </si>
  <si>
    <t>Rohit</t>
  </si>
  <si>
    <t>Anjali</t>
  </si>
  <si>
    <t>result</t>
  </si>
  <si>
    <t>Result</t>
  </si>
  <si>
    <t>Q3</t>
  </si>
  <si>
    <t>Raj</t>
  </si>
  <si>
    <t>Neha</t>
  </si>
  <si>
    <t>Vishal</t>
  </si>
  <si>
    <t>Rani</t>
  </si>
  <si>
    <t>Sneha</t>
  </si>
  <si>
    <t>Q4</t>
  </si>
  <si>
    <t>Emp</t>
  </si>
  <si>
    <t>E101</t>
  </si>
  <si>
    <t xml:space="preserve">E102 </t>
  </si>
  <si>
    <t>E103</t>
  </si>
  <si>
    <t>E104</t>
  </si>
  <si>
    <t>Name</t>
  </si>
  <si>
    <t>Department</t>
  </si>
  <si>
    <t>Roshini</t>
  </si>
  <si>
    <t>Sejal</t>
  </si>
  <si>
    <t>IT</t>
  </si>
  <si>
    <t>HR</t>
  </si>
  <si>
    <t>Finance</t>
  </si>
  <si>
    <t>Sale</t>
  </si>
  <si>
    <t>Q5</t>
  </si>
  <si>
    <t>Amount</t>
  </si>
  <si>
    <t>Q6</t>
  </si>
  <si>
    <t>Employee name</t>
  </si>
  <si>
    <t>Leave taken</t>
  </si>
  <si>
    <t>Leave Allowed</t>
  </si>
  <si>
    <t>Alex</t>
  </si>
  <si>
    <t>Bob</t>
  </si>
  <si>
    <t>Anna</t>
  </si>
  <si>
    <t>Q7</t>
  </si>
  <si>
    <t>Empid</t>
  </si>
  <si>
    <t>salary</t>
  </si>
  <si>
    <t>E105</t>
  </si>
  <si>
    <t>E106</t>
  </si>
  <si>
    <t>E102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</si>
</sst>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57"/>
  <sheetViews>
    <sheetView tabSelected="1" topLeftCell="A50" workbookViewId="0">
      <selection activeCell="C64" sqref="A58:C64"/>
    </sheetView>
  </sheetViews>
  <sheetFormatPr defaultRowHeight="15" x14ac:dyDescent="0.25"/>
  <sheetData>
    <row r="2" spans="1:5" x14ac:dyDescent="0.25">
      <c r="A2" t="s">
        <v>0</v>
      </c>
    </row>
    <row r="3" spans="1:5" x14ac:dyDescent="0.25">
      <c r="B3" t="s">
        <v>1</v>
      </c>
      <c r="C3" t="s">
        <v>2</v>
      </c>
      <c r="D3" t="s">
        <v>16</v>
      </c>
    </row>
    <row r="4" spans="1:5" x14ac:dyDescent="0.25">
      <c r="B4" t="s">
        <v>3</v>
      </c>
      <c r="C4">
        <v>45</v>
      </c>
      <c r="D4" t="str">
        <f>IF(C4&gt;=40, "Pass", "Fail")</f>
        <v>Pass</v>
      </c>
    </row>
    <row r="5" spans="1:5" x14ac:dyDescent="0.25">
      <c r="B5" t="s">
        <v>4</v>
      </c>
      <c r="C5">
        <v>72</v>
      </c>
      <c r="D5" t="str">
        <f t="shared" ref="D5:D8" si="0">IF(C5&gt;=40, "Pass", "Fail")</f>
        <v>Pass</v>
      </c>
    </row>
    <row r="6" spans="1:5" x14ac:dyDescent="0.25">
      <c r="B6" t="s">
        <v>5</v>
      </c>
      <c r="C6">
        <v>55</v>
      </c>
      <c r="D6" t="str">
        <f t="shared" si="0"/>
        <v>Pass</v>
      </c>
    </row>
    <row r="7" spans="1:5" x14ac:dyDescent="0.25">
      <c r="B7" t="s">
        <v>6</v>
      </c>
      <c r="C7">
        <v>80</v>
      </c>
      <c r="D7" t="str">
        <f t="shared" si="0"/>
        <v>Pass</v>
      </c>
    </row>
    <row r="8" spans="1:5" x14ac:dyDescent="0.25">
      <c r="B8" t="s">
        <v>7</v>
      </c>
      <c r="C8">
        <v>30</v>
      </c>
      <c r="D8" t="str">
        <f t="shared" si="0"/>
        <v>Fail</v>
      </c>
    </row>
    <row r="12" spans="1:5" x14ac:dyDescent="0.25">
      <c r="A12" t="s">
        <v>8</v>
      </c>
    </row>
    <row r="13" spans="1:5" x14ac:dyDescent="0.25">
      <c r="B13" t="s">
        <v>9</v>
      </c>
      <c r="C13" t="s">
        <v>10</v>
      </c>
      <c r="D13" t="s">
        <v>11</v>
      </c>
      <c r="E13" t="s">
        <v>17</v>
      </c>
    </row>
    <row r="14" spans="1:5" x14ac:dyDescent="0.25">
      <c r="B14" t="s">
        <v>12</v>
      </c>
      <c r="C14">
        <v>55000</v>
      </c>
      <c r="D14">
        <v>95</v>
      </c>
      <c r="E14" t="str">
        <f>IF(AND(C14&gt;40000, D14&gt;=90), "Get Bonus", "No Bonus")</f>
        <v>Get Bonus</v>
      </c>
    </row>
    <row r="15" spans="1:5" x14ac:dyDescent="0.25">
      <c r="B15" t="s">
        <v>13</v>
      </c>
      <c r="C15">
        <v>65000</v>
      </c>
      <c r="D15">
        <v>85</v>
      </c>
      <c r="E15" t="str">
        <f t="shared" ref="E15:E17" si="1">IF(AND(C15&gt;40000, D15&gt;=90), "Get Bonus", "No Bonus")</f>
        <v>No Bonus</v>
      </c>
    </row>
    <row r="16" spans="1:5" x14ac:dyDescent="0.25">
      <c r="B16" t="s">
        <v>14</v>
      </c>
      <c r="C16">
        <v>30000</v>
      </c>
      <c r="D16">
        <v>90</v>
      </c>
      <c r="E16" t="str">
        <f t="shared" si="1"/>
        <v>No Bonus</v>
      </c>
    </row>
    <row r="17" spans="1:5" x14ac:dyDescent="0.25">
      <c r="B17" t="s">
        <v>15</v>
      </c>
      <c r="C17">
        <v>25000</v>
      </c>
      <c r="D17">
        <v>65</v>
      </c>
      <c r="E17" t="str">
        <f t="shared" si="1"/>
        <v>No Bonus</v>
      </c>
    </row>
    <row r="19" spans="1:5" x14ac:dyDescent="0.25">
      <c r="A19" t="s">
        <v>18</v>
      </c>
    </row>
    <row r="20" spans="1:5" x14ac:dyDescent="0.25">
      <c r="B20" t="s">
        <v>1</v>
      </c>
      <c r="C20" t="s">
        <v>2</v>
      </c>
      <c r="D20" t="s">
        <v>17</v>
      </c>
    </row>
    <row r="21" spans="1:5" x14ac:dyDescent="0.25">
      <c r="B21" t="s">
        <v>19</v>
      </c>
      <c r="C21">
        <v>85</v>
      </c>
      <c r="D21" t="str">
        <f>IF(C21&gt;=90, "A", IF(C21&gt;=75, "B", IF(C21&gt;=50, "C", "Fail")))</f>
        <v>B</v>
      </c>
    </row>
    <row r="22" spans="1:5" x14ac:dyDescent="0.25">
      <c r="B22" t="s">
        <v>20</v>
      </c>
      <c r="C22">
        <v>96</v>
      </c>
      <c r="D22" t="str">
        <f t="shared" ref="D22:D25" si="2">IF(C22&gt;=90, "A", IF(C22&gt;=75, "B", IF(C22&gt;=50, "C", "Fail")))</f>
        <v>A</v>
      </c>
    </row>
    <row r="23" spans="1:5" x14ac:dyDescent="0.25">
      <c r="B23" t="s">
        <v>21</v>
      </c>
      <c r="C23">
        <v>57</v>
      </c>
      <c r="D23" t="str">
        <f t="shared" si="2"/>
        <v>C</v>
      </c>
    </row>
    <row r="24" spans="1:5" x14ac:dyDescent="0.25">
      <c r="B24" t="s">
        <v>22</v>
      </c>
      <c r="C24">
        <v>92</v>
      </c>
      <c r="D24" t="str">
        <f t="shared" si="2"/>
        <v>A</v>
      </c>
    </row>
    <row r="25" spans="1:5" x14ac:dyDescent="0.25">
      <c r="B25" t="s">
        <v>23</v>
      </c>
      <c r="C25">
        <v>75</v>
      </c>
      <c r="D25" t="str">
        <f t="shared" si="2"/>
        <v>B</v>
      </c>
    </row>
    <row r="27" spans="1:5" x14ac:dyDescent="0.25">
      <c r="A27" t="s">
        <v>24</v>
      </c>
    </row>
    <row r="28" spans="1:5" x14ac:dyDescent="0.25">
      <c r="B28" t="s">
        <v>25</v>
      </c>
      <c r="C28" t="s">
        <v>30</v>
      </c>
      <c r="D28" t="s">
        <v>31</v>
      </c>
    </row>
    <row r="29" spans="1:5" x14ac:dyDescent="0.25">
      <c r="B29" t="s">
        <v>26</v>
      </c>
      <c r="C29" t="s">
        <v>5</v>
      </c>
      <c r="D29" t="s">
        <v>34</v>
      </c>
    </row>
    <row r="30" spans="1:5" x14ac:dyDescent="0.25">
      <c r="B30" t="s">
        <v>27</v>
      </c>
      <c r="C30" t="s">
        <v>3</v>
      </c>
      <c r="D30" t="s">
        <v>35</v>
      </c>
    </row>
    <row r="31" spans="1:5" x14ac:dyDescent="0.25">
      <c r="B31" t="s">
        <v>28</v>
      </c>
      <c r="C31" t="s">
        <v>32</v>
      </c>
      <c r="D31" t="s">
        <v>36</v>
      </c>
    </row>
    <row r="32" spans="1:5" x14ac:dyDescent="0.25">
      <c r="B32" t="s">
        <v>29</v>
      </c>
      <c r="C32" t="s">
        <v>33</v>
      </c>
      <c r="D32" t="s">
        <v>37</v>
      </c>
    </row>
    <row r="35" spans="1:5" x14ac:dyDescent="0.25">
      <c r="B35" t="str">
        <f>VLOOKUP("E103",B29:D32, 3, FALSE)</f>
        <v>Finance</v>
      </c>
    </row>
    <row r="37" spans="1:5" x14ac:dyDescent="0.25">
      <c r="A37" t="s">
        <v>38</v>
      </c>
    </row>
    <row r="38" spans="1:5" x14ac:dyDescent="0.25">
      <c r="B38" t="s">
        <v>10</v>
      </c>
      <c r="C38" t="s">
        <v>39</v>
      </c>
    </row>
    <row r="39" spans="1:5" x14ac:dyDescent="0.25">
      <c r="B39">
        <v>0</v>
      </c>
      <c r="C39" s="1">
        <v>0.05</v>
      </c>
      <c r="D39">
        <f>VLOOKUP(45000, B39:C42, 2, TRUE)</f>
        <v>0.1</v>
      </c>
    </row>
    <row r="40" spans="1:5" x14ac:dyDescent="0.25">
      <c r="B40">
        <v>20000</v>
      </c>
      <c r="C40" s="1">
        <v>0.1</v>
      </c>
      <c r="D40">
        <f>VLOOKUP(45000, B39:C42, 2, TRUE)</f>
        <v>0.1</v>
      </c>
    </row>
    <row r="41" spans="1:5" x14ac:dyDescent="0.25">
      <c r="B41">
        <v>50000</v>
      </c>
      <c r="C41" s="1">
        <v>0.15</v>
      </c>
      <c r="D41">
        <f>VLOOKUP(45000, B39:C42, 2, TRUE)</f>
        <v>0.1</v>
      </c>
    </row>
    <row r="42" spans="1:5" x14ac:dyDescent="0.25">
      <c r="B42">
        <v>80000</v>
      </c>
      <c r="C42" s="1">
        <v>0.2</v>
      </c>
      <c r="D42">
        <f>VLOOKUP(45000, B39:C42, 2, TRUE)</f>
        <v>0.1</v>
      </c>
    </row>
    <row r="45" spans="1:5" x14ac:dyDescent="0.25">
      <c r="A45" t="s">
        <v>40</v>
      </c>
      <c r="B45" t="s">
        <v>41</v>
      </c>
      <c r="C45" t="s">
        <v>42</v>
      </c>
      <c r="D45" t="s">
        <v>43</v>
      </c>
    </row>
    <row r="46" spans="1:5" x14ac:dyDescent="0.25">
      <c r="B46" t="s">
        <v>44</v>
      </c>
      <c r="C46">
        <v>10</v>
      </c>
      <c r="D46">
        <v>12</v>
      </c>
      <c r="E46" t="str">
        <f>IF(C46&gt;D46, "Exceed", "Ok")</f>
        <v>Ok</v>
      </c>
    </row>
    <row r="47" spans="1:5" x14ac:dyDescent="0.25">
      <c r="B47" t="s">
        <v>45</v>
      </c>
      <c r="C47">
        <v>10</v>
      </c>
      <c r="D47">
        <v>12</v>
      </c>
      <c r="E47" t="str">
        <f t="shared" ref="E47:E48" si="3">IF(C47&gt;D47, "Exceed", "Ok")</f>
        <v>Ok</v>
      </c>
    </row>
    <row r="48" spans="1:5" x14ac:dyDescent="0.25">
      <c r="B48" t="s">
        <v>46</v>
      </c>
      <c r="C48">
        <v>8</v>
      </c>
      <c r="D48">
        <v>12</v>
      </c>
      <c r="E48" t="str">
        <f t="shared" si="3"/>
        <v>Ok</v>
      </c>
    </row>
    <row r="50" spans="1:3" x14ac:dyDescent="0.25">
      <c r="A50" t="s">
        <v>47</v>
      </c>
    </row>
    <row r="51" spans="1:3" x14ac:dyDescent="0.25">
      <c r="B51" t="s">
        <v>48</v>
      </c>
      <c r="C51" t="s">
        <v>49</v>
      </c>
    </row>
    <row r="52" spans="1:3" x14ac:dyDescent="0.25">
      <c r="B52" t="s">
        <v>29</v>
      </c>
      <c r="C52">
        <v>55000</v>
      </c>
    </row>
    <row r="53" spans="1:3" x14ac:dyDescent="0.25">
      <c r="B53" t="s">
        <v>50</v>
      </c>
      <c r="C53">
        <v>72000</v>
      </c>
    </row>
    <row r="54" spans="1:3" x14ac:dyDescent="0.25">
      <c r="B54" t="s">
        <v>51</v>
      </c>
      <c r="C54">
        <v>62000</v>
      </c>
    </row>
    <row r="55" spans="1:3" x14ac:dyDescent="0.25">
      <c r="B55" t="s">
        <v>52</v>
      </c>
      <c r="C55">
        <v>41000</v>
      </c>
    </row>
    <row r="57" spans="1:3" x14ac:dyDescent="0.25">
      <c r="B57">
        <f>INDEX(C52:C55, MATCH("E105", B52:B55, 0))</f>
        <v>72000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2025-12-22T16:26:51Z</dcterms:created>
  <dcterms:modified xsi:type="dcterms:W3CDTF">2025-12-22T18:02:04Z</dcterms:modified>
</cp:coreProperties>
</file>