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ata Analytics\"/>
    </mc:Choice>
  </mc:AlternateContent>
  <bookViews>
    <workbookView xWindow="0" yWindow="0" windowWidth="19200" windowHeight="69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1" i="1" l="1"/>
  <c r="C58" i="1"/>
  <c r="C55" i="1"/>
  <c r="A55" i="1"/>
  <c r="A41" i="1"/>
  <c r="A38" i="1"/>
  <c r="C22" i="1"/>
  <c r="A22" i="1"/>
  <c r="A16" i="1"/>
  <c r="A12" i="1"/>
  <c r="B4" i="1"/>
  <c r="A3" i="1"/>
</calcChain>
</file>

<file path=xl/sharedStrings.xml><?xml version="1.0" encoding="utf-8"?>
<sst xmlns="http://schemas.openxmlformats.org/spreadsheetml/2006/main" count="38" uniqueCount="36">
  <si>
    <t>Q2</t>
  </si>
  <si>
    <t>mean</t>
  </si>
  <si>
    <t>Q1</t>
  </si>
  <si>
    <t>12 Appears twice and its most frequently sold qty.</t>
  </si>
  <si>
    <t>Q3</t>
  </si>
  <si>
    <t>mode</t>
  </si>
  <si>
    <t>because demand is highest</t>
  </si>
  <si>
    <t>Q5</t>
  </si>
  <si>
    <t>Max= 40</t>
  </si>
  <si>
    <t>Min=25</t>
  </si>
  <si>
    <t>Range= 15</t>
  </si>
  <si>
    <t>Q6</t>
  </si>
  <si>
    <t>Max= 120</t>
  </si>
  <si>
    <t>Min=98</t>
  </si>
  <si>
    <t>Range= 22Kg</t>
  </si>
  <si>
    <t>Q7</t>
  </si>
  <si>
    <t>Company Variance A= 6</t>
  </si>
  <si>
    <t>Company Varance B= 15</t>
  </si>
  <si>
    <t>lower Variation= more consistent performance</t>
  </si>
  <si>
    <t>Since 6&lt;15 , the delievry time are motr reliable</t>
  </si>
  <si>
    <t xml:space="preserve">Q8 </t>
  </si>
  <si>
    <t>Coin A= $ 30</t>
  </si>
  <si>
    <t>Coin B=$120</t>
  </si>
  <si>
    <t>Higher devaition is higher risk 120&lt;30 coinB is  risker</t>
  </si>
  <si>
    <t>Q9</t>
  </si>
  <si>
    <t>electricity(KWH)</t>
  </si>
  <si>
    <t>sr.no</t>
  </si>
  <si>
    <t>Mean</t>
  </si>
  <si>
    <t>standard Deviation</t>
  </si>
  <si>
    <t>Q10</t>
  </si>
  <si>
    <t>point</t>
  </si>
  <si>
    <t>all data are diffr</t>
  </si>
  <si>
    <t>median</t>
  </si>
  <si>
    <t>Q4 Median</t>
  </si>
  <si>
    <t>Range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</si>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</sst>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61"/>
  <sheetViews>
    <sheetView tabSelected="1" topLeftCell="A46" workbookViewId="0">
      <selection activeCell="A62" sqref="A62"/>
    </sheetView>
  </sheetViews>
  <sheetFormatPr defaultRowHeight="15" x14ac:dyDescent="0.25"/>
  <sheetData>
    <row r="2" spans="1:2" x14ac:dyDescent="0.25">
      <c r="A2" t="s">
        <v>0</v>
      </c>
    </row>
    <row r="3" spans="1:2" x14ac:dyDescent="0.25">
      <c r="A3">
        <f>SUM(12+15+14+16+18+20+19)</f>
        <v>114</v>
      </c>
    </row>
    <row r="4" spans="1:2" x14ac:dyDescent="0.25">
      <c r="A4" t="s">
        <v>1</v>
      </c>
      <c r="B4">
        <f>SUM(A3)/7</f>
        <v>16.285714285714285</v>
      </c>
    </row>
    <row r="6" spans="1:2" x14ac:dyDescent="0.25">
      <c r="A6" t="s">
        <v>2</v>
      </c>
    </row>
    <row r="7" spans="1:2" x14ac:dyDescent="0.25">
      <c r="A7" t="s">
        <v>3</v>
      </c>
    </row>
    <row r="9" spans="1:2" x14ac:dyDescent="0.25">
      <c r="A9" t="s">
        <v>4</v>
      </c>
    </row>
    <row r="11" spans="1:2" x14ac:dyDescent="0.25">
      <c r="A11" t="s">
        <v>5</v>
      </c>
    </row>
    <row r="12" spans="1:2" x14ac:dyDescent="0.25">
      <c r="A12">
        <f>_xlfn.MODE.MULT(7,8,9,8,8,10,7,9)</f>
        <v>8</v>
      </c>
    </row>
    <row r="13" spans="1:2" x14ac:dyDescent="0.25">
      <c r="A13" t="s">
        <v>6</v>
      </c>
    </row>
    <row r="15" spans="1:2" x14ac:dyDescent="0.25">
      <c r="A15" t="s">
        <v>33</v>
      </c>
    </row>
    <row r="16" spans="1:2" x14ac:dyDescent="0.25">
      <c r="A16">
        <f>MEDIAN(8000,9500,10200,11000,50000)</f>
        <v>10200</v>
      </c>
    </row>
    <row r="18" spans="1:5" x14ac:dyDescent="0.25">
      <c r="A18" t="s">
        <v>7</v>
      </c>
      <c r="C18" t="s">
        <v>11</v>
      </c>
      <c r="E18" t="s">
        <v>15</v>
      </c>
    </row>
    <row r="19" spans="1:5" x14ac:dyDescent="0.25">
      <c r="A19" t="s">
        <v>8</v>
      </c>
      <c r="C19" t="s">
        <v>12</v>
      </c>
      <c r="E19" t="s">
        <v>16</v>
      </c>
    </row>
    <row r="20" spans="1:5" x14ac:dyDescent="0.25">
      <c r="A20" t="s">
        <v>9</v>
      </c>
      <c r="C20" t="s">
        <v>13</v>
      </c>
      <c r="E20" t="s">
        <v>17</v>
      </c>
    </row>
    <row r="21" spans="1:5" x14ac:dyDescent="0.25">
      <c r="A21" t="s">
        <v>10</v>
      </c>
      <c r="C21" t="s">
        <v>14</v>
      </c>
      <c r="E21" t="s">
        <v>18</v>
      </c>
    </row>
    <row r="22" spans="1:5" x14ac:dyDescent="0.25">
      <c r="A22">
        <f>SUM(40-25)</f>
        <v>15</v>
      </c>
      <c r="C22">
        <f>SUM(120-98)</f>
        <v>22</v>
      </c>
      <c r="E22" t="s">
        <v>19</v>
      </c>
    </row>
    <row r="24" spans="1:5" x14ac:dyDescent="0.25">
      <c r="A24" t="s">
        <v>20</v>
      </c>
    </row>
    <row r="25" spans="1:5" x14ac:dyDescent="0.25">
      <c r="A25" t="s">
        <v>21</v>
      </c>
    </row>
    <row r="26" spans="1:5" x14ac:dyDescent="0.25">
      <c r="A26" t="s">
        <v>22</v>
      </c>
    </row>
    <row r="27" spans="1:5" x14ac:dyDescent="0.25">
      <c r="A27" t="s">
        <v>23</v>
      </c>
    </row>
    <row r="29" spans="1:5" x14ac:dyDescent="0.25">
      <c r="A29" t="s">
        <v>24</v>
      </c>
    </row>
    <row r="30" spans="1:5" x14ac:dyDescent="0.25">
      <c r="A30" t="s">
        <v>26</v>
      </c>
      <c r="B30" t="s">
        <v>25</v>
      </c>
    </row>
    <row r="31" spans="1:5" x14ac:dyDescent="0.25">
      <c r="A31">
        <v>1</v>
      </c>
      <c r="B31">
        <v>400</v>
      </c>
    </row>
    <row r="32" spans="1:5" x14ac:dyDescent="0.25">
      <c r="A32">
        <v>2</v>
      </c>
      <c r="B32">
        <v>420</v>
      </c>
    </row>
    <row r="33" spans="1:2" x14ac:dyDescent="0.25">
      <c r="A33">
        <v>3</v>
      </c>
      <c r="B33">
        <v>390</v>
      </c>
    </row>
    <row r="34" spans="1:2" x14ac:dyDescent="0.25">
      <c r="A34">
        <v>4</v>
      </c>
      <c r="B34">
        <v>450</v>
      </c>
    </row>
    <row r="35" spans="1:2" x14ac:dyDescent="0.25">
      <c r="A35">
        <v>5</v>
      </c>
      <c r="B35">
        <v>410</v>
      </c>
    </row>
    <row r="37" spans="1:2" x14ac:dyDescent="0.25">
      <c r="A37" t="s">
        <v>27</v>
      </c>
    </row>
    <row r="38" spans="1:2" x14ac:dyDescent="0.25">
      <c r="A38">
        <f>SUM(B31:B35)/5</f>
        <v>414</v>
      </c>
    </row>
    <row r="40" spans="1:2" x14ac:dyDescent="0.25">
      <c r="A40" t="s">
        <v>28</v>
      </c>
    </row>
    <row r="41" spans="1:2" x14ac:dyDescent="0.25">
      <c r="A41">
        <f>_xlfn.STDEV.S(B31:B35)</f>
        <v>23.021728866442675</v>
      </c>
    </row>
    <row r="43" spans="1:2" x14ac:dyDescent="0.25">
      <c r="A43" t="s">
        <v>29</v>
      </c>
    </row>
    <row r="45" spans="1:2" x14ac:dyDescent="0.25">
      <c r="B45" t="s">
        <v>30</v>
      </c>
    </row>
    <row r="46" spans="1:2" x14ac:dyDescent="0.25">
      <c r="B46">
        <v>15</v>
      </c>
    </row>
    <row r="47" spans="1:2" x14ac:dyDescent="0.25">
      <c r="B47">
        <v>17</v>
      </c>
    </row>
    <row r="48" spans="1:2" x14ac:dyDescent="0.25">
      <c r="B48">
        <v>18</v>
      </c>
    </row>
    <row r="49" spans="1:3" x14ac:dyDescent="0.25">
      <c r="B49">
        <v>19</v>
      </c>
    </row>
    <row r="50" spans="1:3" x14ac:dyDescent="0.25">
      <c r="B50">
        <v>20</v>
      </c>
    </row>
    <row r="51" spans="1:3" x14ac:dyDescent="0.25">
      <c r="B51">
        <v>21</v>
      </c>
    </row>
    <row r="52" spans="1:3" x14ac:dyDescent="0.25">
      <c r="B52">
        <v>22</v>
      </c>
    </row>
    <row r="53" spans="1:3" x14ac:dyDescent="0.25">
      <c r="B53">
        <v>25</v>
      </c>
    </row>
    <row r="54" spans="1:3" x14ac:dyDescent="0.25">
      <c r="A54" t="s">
        <v>27</v>
      </c>
      <c r="C54" t="s">
        <v>32</v>
      </c>
    </row>
    <row r="55" spans="1:3" x14ac:dyDescent="0.25">
      <c r="A55">
        <f>SUM(B46:B53)/2</f>
        <v>78.5</v>
      </c>
      <c r="C55">
        <f>MEDIAN(B46:B53)</f>
        <v>19.5</v>
      </c>
    </row>
    <row r="57" spans="1:3" x14ac:dyDescent="0.25">
      <c r="A57" t="s">
        <v>5</v>
      </c>
      <c r="C57" t="s">
        <v>34</v>
      </c>
    </row>
    <row r="58" spans="1:3" x14ac:dyDescent="0.25">
      <c r="A58" t="s">
        <v>31</v>
      </c>
      <c r="C58">
        <f>SUM(25-15)</f>
        <v>10</v>
      </c>
    </row>
    <row r="60" spans="1:3" x14ac:dyDescent="0.25">
      <c r="A60" t="s">
        <v>35</v>
      </c>
    </row>
    <row r="61" spans="1:3" x14ac:dyDescent="0.25">
      <c r="A61">
        <f>_xlfn.STDEV.P(B46:B53)</f>
        <v>2.912795049432761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2026-01-02T01:35:54Z</dcterms:created>
  <dcterms:modified xsi:type="dcterms:W3CDTF">2026-01-02T02:21:27Z</dcterms:modified>
</cp:coreProperties>
</file>